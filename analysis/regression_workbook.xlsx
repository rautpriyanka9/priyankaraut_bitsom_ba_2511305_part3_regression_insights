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0775" windowHeight="7365" activeTab="6"/>
  </bookViews>
  <sheets>
    <sheet name="original data" sheetId="1" r:id="rId1"/>
    <sheet name="Cleaned_data" sheetId="2" r:id="rId2"/>
    <sheet name="Dummy_variables" sheetId="3" r:id="rId3"/>
    <sheet name="Single_regression" sheetId="9" r:id="rId4"/>
    <sheet name="Multiple_regression" sheetId="7" r:id="rId5"/>
    <sheet name="Model_Comparision" sheetId="10" r:id="rId6"/>
    <sheet name="Predictions_Reciduals" sheetId="11" r:id="rId7"/>
  </sheets>
  <calcPr calcId="124519"/>
  <extLst>
    <ext uri="GoogleSheetsCustomDataVersion2">
      <go:sheetsCustomData xmlns:go="http://customooxmlschemas.google.com/" r:id="" roundtripDataChecksum="pNwtXph2dFCHcEf7YGltGWQ2bKZjC4TSm4IGROh4zhI="/>
    </ext>
  </extLst>
</workbook>
</file>

<file path=xl/calcChain.xml><?xml version="1.0" encoding="utf-8"?>
<calcChain xmlns="http://schemas.openxmlformats.org/spreadsheetml/2006/main">
  <c r="D323" i="11"/>
  <c r="C322"/>
  <c r="D322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"/>
  <c r="D4"/>
  <c r="D5"/>
  <c r="D6"/>
  <c r="D7"/>
  <c r="D8"/>
  <c r="D9"/>
  <c r="D10"/>
  <c r="D11"/>
  <c r="D12"/>
  <c r="D13"/>
  <c r="D14"/>
  <c r="D15"/>
  <c r="D2"/>
  <c r="U3" i="3"/>
  <c r="V3"/>
  <c r="U4"/>
  <c r="V4"/>
  <c r="U5"/>
  <c r="V5"/>
  <c r="U6"/>
  <c r="V6"/>
  <c r="U7"/>
  <c r="V7"/>
  <c r="U8"/>
  <c r="V8"/>
  <c r="U9"/>
  <c r="V9"/>
  <c r="U10"/>
  <c r="V10"/>
  <c r="U11"/>
  <c r="V11"/>
  <c r="U12"/>
  <c r="V12"/>
  <c r="U13"/>
  <c r="V13"/>
  <c r="U14"/>
  <c r="V14"/>
  <c r="U15"/>
  <c r="V15"/>
  <c r="U16"/>
  <c r="V16"/>
  <c r="U17"/>
  <c r="V17"/>
  <c r="U18"/>
  <c r="V18"/>
  <c r="U19"/>
  <c r="V19"/>
  <c r="U20"/>
  <c r="V20"/>
  <c r="U21"/>
  <c r="V21"/>
  <c r="U22"/>
  <c r="V22"/>
  <c r="U23"/>
  <c r="V23"/>
  <c r="U24"/>
  <c r="V24"/>
  <c r="U25"/>
  <c r="V25"/>
  <c r="U26"/>
  <c r="V26"/>
  <c r="U27"/>
  <c r="V27"/>
  <c r="U28"/>
  <c r="V28"/>
  <c r="U29"/>
  <c r="V29"/>
  <c r="U30"/>
  <c r="V30"/>
  <c r="U31"/>
  <c r="V31"/>
  <c r="U32"/>
  <c r="V32"/>
  <c r="U33"/>
  <c r="V33"/>
  <c r="U34"/>
  <c r="V34"/>
  <c r="U35"/>
  <c r="V35"/>
  <c r="U36"/>
  <c r="V36"/>
  <c r="U37"/>
  <c r="V37"/>
  <c r="U38"/>
  <c r="V38"/>
  <c r="U39"/>
  <c r="V39"/>
  <c r="U40"/>
  <c r="V40"/>
  <c r="U41"/>
  <c r="V41"/>
  <c r="U42"/>
  <c r="V42"/>
  <c r="U43"/>
  <c r="V43"/>
  <c r="U44"/>
  <c r="V44"/>
  <c r="U45"/>
  <c r="V45"/>
  <c r="U46"/>
  <c r="V46"/>
  <c r="U47"/>
  <c r="V47"/>
  <c r="U48"/>
  <c r="V48"/>
  <c r="U49"/>
  <c r="V49"/>
  <c r="U50"/>
  <c r="V50"/>
  <c r="U51"/>
  <c r="V51"/>
  <c r="U52"/>
  <c r="V52"/>
  <c r="U53"/>
  <c r="V53"/>
  <c r="U54"/>
  <c r="V54"/>
  <c r="U55"/>
  <c r="V55"/>
  <c r="U56"/>
  <c r="V56"/>
  <c r="U57"/>
  <c r="V57"/>
  <c r="U58"/>
  <c r="V58"/>
  <c r="U59"/>
  <c r="V59"/>
  <c r="U60"/>
  <c r="V60"/>
  <c r="U61"/>
  <c r="V61"/>
  <c r="U62"/>
  <c r="V62"/>
  <c r="U63"/>
  <c r="V63"/>
  <c r="U64"/>
  <c r="V64"/>
  <c r="U65"/>
  <c r="V65"/>
  <c r="U66"/>
  <c r="V66"/>
  <c r="U67"/>
  <c r="V67"/>
  <c r="U68"/>
  <c r="V68"/>
  <c r="U69"/>
  <c r="V69"/>
  <c r="U70"/>
  <c r="V70"/>
  <c r="U71"/>
  <c r="V71"/>
  <c r="U72"/>
  <c r="V72"/>
  <c r="U73"/>
  <c r="V73"/>
  <c r="U74"/>
  <c r="V74"/>
  <c r="U75"/>
  <c r="V75"/>
  <c r="U76"/>
  <c r="V76"/>
  <c r="U77"/>
  <c r="V77"/>
  <c r="U78"/>
  <c r="V78"/>
  <c r="U79"/>
  <c r="V79"/>
  <c r="U80"/>
  <c r="V80"/>
  <c r="U81"/>
  <c r="V81"/>
  <c r="U82"/>
  <c r="V82"/>
  <c r="U83"/>
  <c r="V83"/>
  <c r="U84"/>
  <c r="V84"/>
  <c r="U85"/>
  <c r="V85"/>
  <c r="U86"/>
  <c r="V86"/>
  <c r="U87"/>
  <c r="V87"/>
  <c r="U88"/>
  <c r="V88"/>
  <c r="U89"/>
  <c r="V89"/>
  <c r="U90"/>
  <c r="V90"/>
  <c r="U91"/>
  <c r="V91"/>
  <c r="U92"/>
  <c r="V92"/>
  <c r="U93"/>
  <c r="V93"/>
  <c r="U94"/>
  <c r="V94"/>
  <c r="U95"/>
  <c r="V95"/>
  <c r="U96"/>
  <c r="V96"/>
  <c r="U97"/>
  <c r="V97"/>
  <c r="U98"/>
  <c r="V98"/>
  <c r="U99"/>
  <c r="V99"/>
  <c r="U100"/>
  <c r="V100"/>
  <c r="U101"/>
  <c r="V101"/>
  <c r="U102"/>
  <c r="V102"/>
  <c r="U103"/>
  <c r="V103"/>
  <c r="U104"/>
  <c r="V104"/>
  <c r="U105"/>
  <c r="V105"/>
  <c r="U106"/>
  <c r="V106"/>
  <c r="U107"/>
  <c r="V107"/>
  <c r="U108"/>
  <c r="V108"/>
  <c r="U109"/>
  <c r="V109"/>
  <c r="U110"/>
  <c r="V110"/>
  <c r="U111"/>
  <c r="V111"/>
  <c r="U112"/>
  <c r="V112"/>
  <c r="U113"/>
  <c r="V113"/>
  <c r="U114"/>
  <c r="V114"/>
  <c r="U115"/>
  <c r="V115"/>
  <c r="U116"/>
  <c r="V116"/>
  <c r="U117"/>
  <c r="V117"/>
  <c r="U118"/>
  <c r="V118"/>
  <c r="U119"/>
  <c r="V119"/>
  <c r="U120"/>
  <c r="V120"/>
  <c r="U121"/>
  <c r="V121"/>
  <c r="U122"/>
  <c r="V122"/>
  <c r="U123"/>
  <c r="V123"/>
  <c r="U124"/>
  <c r="V124"/>
  <c r="U125"/>
  <c r="V125"/>
  <c r="U126"/>
  <c r="V126"/>
  <c r="U127"/>
  <c r="V127"/>
  <c r="U128"/>
  <c r="V128"/>
  <c r="U129"/>
  <c r="V129"/>
  <c r="U130"/>
  <c r="V130"/>
  <c r="U131"/>
  <c r="V131"/>
  <c r="U132"/>
  <c r="V132"/>
  <c r="U133"/>
  <c r="V133"/>
  <c r="U134"/>
  <c r="V134"/>
  <c r="U135"/>
  <c r="V135"/>
  <c r="U136"/>
  <c r="V136"/>
  <c r="U137"/>
  <c r="V137"/>
  <c r="U138"/>
  <c r="V138"/>
  <c r="U139"/>
  <c r="V139"/>
  <c r="U140"/>
  <c r="V140"/>
  <c r="U141"/>
  <c r="V141"/>
  <c r="U142"/>
  <c r="V142"/>
  <c r="U143"/>
  <c r="V143"/>
  <c r="U144"/>
  <c r="V144"/>
  <c r="U145"/>
  <c r="V145"/>
  <c r="U146"/>
  <c r="V146"/>
  <c r="U147"/>
  <c r="V147"/>
  <c r="U148"/>
  <c r="V148"/>
  <c r="U149"/>
  <c r="V149"/>
  <c r="U150"/>
  <c r="V150"/>
  <c r="U151"/>
  <c r="V151"/>
  <c r="U152"/>
  <c r="V152"/>
  <c r="U153"/>
  <c r="V153"/>
  <c r="U154"/>
  <c r="V154"/>
  <c r="U155"/>
  <c r="V155"/>
  <c r="U156"/>
  <c r="V156"/>
  <c r="U157"/>
  <c r="V157"/>
  <c r="U158"/>
  <c r="V158"/>
  <c r="U159"/>
  <c r="V159"/>
  <c r="U160"/>
  <c r="V160"/>
  <c r="U161"/>
  <c r="V161"/>
  <c r="U162"/>
  <c r="V162"/>
  <c r="U163"/>
  <c r="V163"/>
  <c r="U164"/>
  <c r="V164"/>
  <c r="U165"/>
  <c r="V165"/>
  <c r="U166"/>
  <c r="V166"/>
  <c r="U167"/>
  <c r="V167"/>
  <c r="U168"/>
  <c r="V168"/>
  <c r="U169"/>
  <c r="V169"/>
  <c r="U170"/>
  <c r="V170"/>
  <c r="U171"/>
  <c r="V171"/>
  <c r="U172"/>
  <c r="V172"/>
  <c r="U173"/>
  <c r="V173"/>
  <c r="U174"/>
  <c r="V174"/>
  <c r="U175"/>
  <c r="V175"/>
  <c r="U176"/>
  <c r="V176"/>
  <c r="U177"/>
  <c r="V177"/>
  <c r="U178"/>
  <c r="V178"/>
  <c r="U179"/>
  <c r="V179"/>
  <c r="U180"/>
  <c r="V180"/>
  <c r="U181"/>
  <c r="V181"/>
  <c r="U182"/>
  <c r="V182"/>
  <c r="U183"/>
  <c r="V183"/>
  <c r="U184"/>
  <c r="V184"/>
  <c r="U185"/>
  <c r="V185"/>
  <c r="U186"/>
  <c r="V186"/>
  <c r="U187"/>
  <c r="V187"/>
  <c r="U188"/>
  <c r="V188"/>
  <c r="U189"/>
  <c r="V189"/>
  <c r="U190"/>
  <c r="V190"/>
  <c r="U191"/>
  <c r="V191"/>
  <c r="U192"/>
  <c r="V192"/>
  <c r="U193"/>
  <c r="V193"/>
  <c r="U194"/>
  <c r="V194"/>
  <c r="U195"/>
  <c r="V195"/>
  <c r="U196"/>
  <c r="V196"/>
  <c r="U197"/>
  <c r="V197"/>
  <c r="U198"/>
  <c r="V198"/>
  <c r="U199"/>
  <c r="V199"/>
  <c r="U200"/>
  <c r="V200"/>
  <c r="U201"/>
  <c r="V201"/>
  <c r="U202"/>
  <c r="V202"/>
  <c r="U203"/>
  <c r="V203"/>
  <c r="U204"/>
  <c r="V204"/>
  <c r="U205"/>
  <c r="V205"/>
  <c r="U206"/>
  <c r="V206"/>
  <c r="U207"/>
  <c r="V207"/>
  <c r="U208"/>
  <c r="V208"/>
  <c r="U209"/>
  <c r="V209"/>
  <c r="U210"/>
  <c r="V210"/>
  <c r="U211"/>
  <c r="V211"/>
  <c r="U212"/>
  <c r="V212"/>
  <c r="U213"/>
  <c r="V213"/>
  <c r="U214"/>
  <c r="V214"/>
  <c r="U215"/>
  <c r="V215"/>
  <c r="U216"/>
  <c r="V216"/>
  <c r="U217"/>
  <c r="V217"/>
  <c r="U218"/>
  <c r="V218"/>
  <c r="U219"/>
  <c r="V219"/>
  <c r="U220"/>
  <c r="V220"/>
  <c r="U221"/>
  <c r="V221"/>
  <c r="U222"/>
  <c r="V222"/>
  <c r="U223"/>
  <c r="V223"/>
  <c r="U224"/>
  <c r="V224"/>
  <c r="U225"/>
  <c r="V225"/>
  <c r="U226"/>
  <c r="V226"/>
  <c r="U227"/>
  <c r="V227"/>
  <c r="U228"/>
  <c r="V228"/>
  <c r="U229"/>
  <c r="V229"/>
  <c r="U230"/>
  <c r="V230"/>
  <c r="U231"/>
  <c r="V231"/>
  <c r="U232"/>
  <c r="V232"/>
  <c r="U233"/>
  <c r="V233"/>
  <c r="U234"/>
  <c r="V234"/>
  <c r="U235"/>
  <c r="V235"/>
  <c r="U236"/>
  <c r="V236"/>
  <c r="U237"/>
  <c r="V237"/>
  <c r="U238"/>
  <c r="V238"/>
  <c r="U239"/>
  <c r="V239"/>
  <c r="U240"/>
  <c r="V240"/>
  <c r="U241"/>
  <c r="V241"/>
  <c r="U242"/>
  <c r="V242"/>
  <c r="U243"/>
  <c r="V243"/>
  <c r="U244"/>
  <c r="V244"/>
  <c r="U245"/>
  <c r="V245"/>
  <c r="U246"/>
  <c r="V246"/>
  <c r="U247"/>
  <c r="V247"/>
  <c r="U248"/>
  <c r="V248"/>
  <c r="U249"/>
  <c r="V249"/>
  <c r="U250"/>
  <c r="V250"/>
  <c r="U251"/>
  <c r="V251"/>
  <c r="U252"/>
  <c r="V252"/>
  <c r="U253"/>
  <c r="V253"/>
  <c r="U254"/>
  <c r="V254"/>
  <c r="U255"/>
  <c r="V255"/>
  <c r="U256"/>
  <c r="V256"/>
  <c r="U257"/>
  <c r="V257"/>
  <c r="U258"/>
  <c r="V258"/>
  <c r="U259"/>
  <c r="V259"/>
  <c r="U260"/>
  <c r="V260"/>
  <c r="U261"/>
  <c r="V261"/>
  <c r="U262"/>
  <c r="V262"/>
  <c r="U263"/>
  <c r="V263"/>
  <c r="U264"/>
  <c r="V264"/>
  <c r="U265"/>
  <c r="V265"/>
  <c r="U266"/>
  <c r="V266"/>
  <c r="U267"/>
  <c r="V267"/>
  <c r="U268"/>
  <c r="V268"/>
  <c r="U269"/>
  <c r="V269"/>
  <c r="U270"/>
  <c r="V270"/>
  <c r="U271"/>
  <c r="V271"/>
  <c r="U272"/>
  <c r="V272"/>
  <c r="U273"/>
  <c r="V273"/>
  <c r="U274"/>
  <c r="V274"/>
  <c r="U275"/>
  <c r="V275"/>
  <c r="U276"/>
  <c r="V276"/>
  <c r="U277"/>
  <c r="V277"/>
  <c r="U278"/>
  <c r="V278"/>
  <c r="U279"/>
  <c r="V279"/>
  <c r="U280"/>
  <c r="V280"/>
  <c r="U281"/>
  <c r="V281"/>
  <c r="U282"/>
  <c r="V282"/>
  <c r="U283"/>
  <c r="V283"/>
  <c r="U284"/>
  <c r="V284"/>
  <c r="U285"/>
  <c r="V285"/>
  <c r="U286"/>
  <c r="V286"/>
  <c r="U287"/>
  <c r="V287"/>
  <c r="U288"/>
  <c r="V288"/>
  <c r="U289"/>
  <c r="V289"/>
  <c r="U290"/>
  <c r="V290"/>
  <c r="U291"/>
  <c r="V291"/>
  <c r="U292"/>
  <c r="V292"/>
  <c r="U293"/>
  <c r="V293"/>
  <c r="U294"/>
  <c r="V294"/>
  <c r="U295"/>
  <c r="V295"/>
  <c r="U296"/>
  <c r="V296"/>
  <c r="U297"/>
  <c r="V297"/>
  <c r="U298"/>
  <c r="V298"/>
  <c r="U299"/>
  <c r="V299"/>
  <c r="U300"/>
  <c r="V300"/>
  <c r="U301"/>
  <c r="V301"/>
  <c r="U302"/>
  <c r="V302"/>
  <c r="U303"/>
  <c r="V303"/>
  <c r="U304"/>
  <c r="V304"/>
  <c r="U305"/>
  <c r="V305"/>
  <c r="U306"/>
  <c r="V306"/>
  <c r="U307"/>
  <c r="V307"/>
  <c r="U308"/>
  <c r="V308"/>
  <c r="U309"/>
  <c r="V309"/>
  <c r="U310"/>
  <c r="V310"/>
  <c r="U311"/>
  <c r="V311"/>
  <c r="U312"/>
  <c r="V312"/>
  <c r="U313"/>
  <c r="V313"/>
  <c r="U314"/>
  <c r="V314"/>
  <c r="U315"/>
  <c r="V315"/>
  <c r="U316"/>
  <c r="V316"/>
  <c r="U317"/>
  <c r="V317"/>
  <c r="U318"/>
  <c r="V318"/>
  <c r="U319"/>
  <c r="V319"/>
  <c r="U320"/>
  <c r="V320"/>
  <c r="U321"/>
  <c r="V321"/>
  <c r="V2"/>
  <c r="U2"/>
  <c r="R321"/>
  <c r="Q321"/>
  <c r="P321"/>
  <c r="O321"/>
  <c r="N321"/>
  <c r="M321"/>
  <c r="R320"/>
  <c r="Q320"/>
  <c r="P320"/>
  <c r="O320"/>
  <c r="N320"/>
  <c r="M320"/>
  <c r="R319"/>
  <c r="Q319"/>
  <c r="P319"/>
  <c r="O319"/>
  <c r="N319"/>
  <c r="M319"/>
  <c r="R318"/>
  <c r="Q318"/>
  <c r="P318"/>
  <c r="O318"/>
  <c r="N318"/>
  <c r="M318"/>
  <c r="R317"/>
  <c r="Q317"/>
  <c r="P317"/>
  <c r="O317"/>
  <c r="N317"/>
  <c r="M317"/>
  <c r="R316"/>
  <c r="Q316"/>
  <c r="P316"/>
  <c r="O316"/>
  <c r="N316"/>
  <c r="M316"/>
  <c r="R315"/>
  <c r="Q315"/>
  <c r="P315"/>
  <c r="O315"/>
  <c r="N315"/>
  <c r="M315"/>
  <c r="R314"/>
  <c r="Q314"/>
  <c r="P314"/>
  <c r="O314"/>
  <c r="N314"/>
  <c r="M314"/>
  <c r="R313"/>
  <c r="Q313"/>
  <c r="P313"/>
  <c r="O313"/>
  <c r="N313"/>
  <c r="M313"/>
  <c r="R312"/>
  <c r="Q312"/>
  <c r="P312"/>
  <c r="O312"/>
  <c r="N312"/>
  <c r="M312"/>
  <c r="R311"/>
  <c r="Q311"/>
  <c r="P311"/>
  <c r="O311"/>
  <c r="N311"/>
  <c r="M311"/>
  <c r="R310"/>
  <c r="Q310"/>
  <c r="P310"/>
  <c r="O310"/>
  <c r="N310"/>
  <c r="M310"/>
  <c r="R309"/>
  <c r="Q309"/>
  <c r="P309"/>
  <c r="O309"/>
  <c r="N309"/>
  <c r="M309"/>
  <c r="R308"/>
  <c r="Q308"/>
  <c r="P308"/>
  <c r="O308"/>
  <c r="N308"/>
  <c r="M308"/>
  <c r="R307"/>
  <c r="Q307"/>
  <c r="P307"/>
  <c r="O307"/>
  <c r="N307"/>
  <c r="M307"/>
  <c r="R306"/>
  <c r="Q306"/>
  <c r="P306"/>
  <c r="O306"/>
  <c r="N306"/>
  <c r="M306"/>
  <c r="R305"/>
  <c r="Q305"/>
  <c r="P305"/>
  <c r="O305"/>
  <c r="N305"/>
  <c r="M305"/>
  <c r="R304"/>
  <c r="Q304"/>
  <c r="P304"/>
  <c r="O304"/>
  <c r="N304"/>
  <c r="M304"/>
  <c r="R303"/>
  <c r="Q303"/>
  <c r="P303"/>
  <c r="O303"/>
  <c r="N303"/>
  <c r="M303"/>
  <c r="R302"/>
  <c r="Q302"/>
  <c r="P302"/>
  <c r="O302"/>
  <c r="N302"/>
  <c r="M302"/>
  <c r="R301"/>
  <c r="Q301"/>
  <c r="P301"/>
  <c r="O301"/>
  <c r="N301"/>
  <c r="M301"/>
  <c r="R300"/>
  <c r="Q300"/>
  <c r="P300"/>
  <c r="O300"/>
  <c r="N300"/>
  <c r="M300"/>
  <c r="R299"/>
  <c r="Q299"/>
  <c r="P299"/>
  <c r="O299"/>
  <c r="N299"/>
  <c r="M299"/>
  <c r="R298"/>
  <c r="Q298"/>
  <c r="P298"/>
  <c r="O298"/>
  <c r="N298"/>
  <c r="M298"/>
  <c r="R297"/>
  <c r="Q297"/>
  <c r="P297"/>
  <c r="O297"/>
  <c r="N297"/>
  <c r="M297"/>
  <c r="R296"/>
  <c r="Q296"/>
  <c r="P296"/>
  <c r="O296"/>
  <c r="N296"/>
  <c r="M296"/>
  <c r="R295"/>
  <c r="Q295"/>
  <c r="P295"/>
  <c r="O295"/>
  <c r="N295"/>
  <c r="M295"/>
  <c r="R294"/>
  <c r="Q294"/>
  <c r="P294"/>
  <c r="O294"/>
  <c r="N294"/>
  <c r="M294"/>
  <c r="R293"/>
  <c r="Q293"/>
  <c r="P293"/>
  <c r="O293"/>
  <c r="N293"/>
  <c r="M293"/>
  <c r="R292"/>
  <c r="Q292"/>
  <c r="P292"/>
  <c r="O292"/>
  <c r="N292"/>
  <c r="M292"/>
  <c r="R291"/>
  <c r="Q291"/>
  <c r="P291"/>
  <c r="O291"/>
  <c r="N291"/>
  <c r="M291"/>
  <c r="R290"/>
  <c r="Q290"/>
  <c r="P290"/>
  <c r="O290"/>
  <c r="N290"/>
  <c r="M290"/>
  <c r="R289"/>
  <c r="Q289"/>
  <c r="P289"/>
  <c r="O289"/>
  <c r="N289"/>
  <c r="M289"/>
  <c r="R288"/>
  <c r="Q288"/>
  <c r="P288"/>
  <c r="O288"/>
  <c r="N288"/>
  <c r="M288"/>
  <c r="R287"/>
  <c r="Q287"/>
  <c r="P287"/>
  <c r="O287"/>
  <c r="N287"/>
  <c r="M287"/>
  <c r="R286"/>
  <c r="Q286"/>
  <c r="P286"/>
  <c r="O286"/>
  <c r="N286"/>
  <c r="M286"/>
  <c r="R285"/>
  <c r="Q285"/>
  <c r="P285"/>
  <c r="O285"/>
  <c r="N285"/>
  <c r="M285"/>
  <c r="R284"/>
  <c r="Q284"/>
  <c r="P284"/>
  <c r="O284"/>
  <c r="N284"/>
  <c r="M284"/>
  <c r="R283"/>
  <c r="Q283"/>
  <c r="P283"/>
  <c r="O283"/>
  <c r="N283"/>
  <c r="M283"/>
  <c r="R282"/>
  <c r="Q282"/>
  <c r="P282"/>
  <c r="O282"/>
  <c r="N282"/>
  <c r="M282"/>
  <c r="R281"/>
  <c r="Q281"/>
  <c r="P281"/>
  <c r="O281"/>
  <c r="N281"/>
  <c r="M281"/>
  <c r="R280"/>
  <c r="Q280"/>
  <c r="P280"/>
  <c r="O280"/>
  <c r="N280"/>
  <c r="M280"/>
  <c r="R279"/>
  <c r="Q279"/>
  <c r="P279"/>
  <c r="O279"/>
  <c r="N279"/>
  <c r="M279"/>
  <c r="R278"/>
  <c r="Q278"/>
  <c r="P278"/>
  <c r="O278"/>
  <c r="N278"/>
  <c r="M278"/>
  <c r="R277"/>
  <c r="Q277"/>
  <c r="P277"/>
  <c r="O277"/>
  <c r="N277"/>
  <c r="M277"/>
  <c r="R276"/>
  <c r="Q276"/>
  <c r="P276"/>
  <c r="O276"/>
  <c r="N276"/>
  <c r="M276"/>
  <c r="R275"/>
  <c r="Q275"/>
  <c r="P275"/>
  <c r="O275"/>
  <c r="N275"/>
  <c r="M275"/>
  <c r="R274"/>
  <c r="Q274"/>
  <c r="P274"/>
  <c r="O274"/>
  <c r="N274"/>
  <c r="M274"/>
  <c r="R273"/>
  <c r="Q273"/>
  <c r="P273"/>
  <c r="O273"/>
  <c r="N273"/>
  <c r="M273"/>
  <c r="R272"/>
  <c r="Q272"/>
  <c r="P272"/>
  <c r="O272"/>
  <c r="N272"/>
  <c r="M272"/>
  <c r="R271"/>
  <c r="Q271"/>
  <c r="P271"/>
  <c r="O271"/>
  <c r="N271"/>
  <c r="M271"/>
  <c r="R270"/>
  <c r="Q270"/>
  <c r="P270"/>
  <c r="O270"/>
  <c r="N270"/>
  <c r="M270"/>
  <c r="R269"/>
  <c r="Q269"/>
  <c r="P269"/>
  <c r="O269"/>
  <c r="N269"/>
  <c r="M269"/>
  <c r="R268"/>
  <c r="Q268"/>
  <c r="P268"/>
  <c r="O268"/>
  <c r="N268"/>
  <c r="M268"/>
  <c r="R267"/>
  <c r="Q267"/>
  <c r="P267"/>
  <c r="O267"/>
  <c r="N267"/>
  <c r="M267"/>
  <c r="R266"/>
  <c r="Q266"/>
  <c r="P266"/>
  <c r="O266"/>
  <c r="N266"/>
  <c r="M266"/>
  <c r="R265"/>
  <c r="Q265"/>
  <c r="P265"/>
  <c r="O265"/>
  <c r="N265"/>
  <c r="M265"/>
  <c r="R264"/>
  <c r="Q264"/>
  <c r="P264"/>
  <c r="O264"/>
  <c r="N264"/>
  <c r="M264"/>
  <c r="R263"/>
  <c r="Q263"/>
  <c r="P263"/>
  <c r="O263"/>
  <c r="N263"/>
  <c r="M263"/>
  <c r="R262"/>
  <c r="Q262"/>
  <c r="P262"/>
  <c r="O262"/>
  <c r="N262"/>
  <c r="M262"/>
  <c r="R261"/>
  <c r="Q261"/>
  <c r="P261"/>
  <c r="O261"/>
  <c r="N261"/>
  <c r="M261"/>
  <c r="R260"/>
  <c r="Q260"/>
  <c r="P260"/>
  <c r="O260"/>
  <c r="N260"/>
  <c r="M260"/>
  <c r="R259"/>
  <c r="Q259"/>
  <c r="P259"/>
  <c r="O259"/>
  <c r="N259"/>
  <c r="M259"/>
  <c r="R258"/>
  <c r="Q258"/>
  <c r="P258"/>
  <c r="O258"/>
  <c r="N258"/>
  <c r="M258"/>
  <c r="R257"/>
  <c r="Q257"/>
  <c r="P257"/>
  <c r="O257"/>
  <c r="N257"/>
  <c r="M257"/>
  <c r="R256"/>
  <c r="Q256"/>
  <c r="P256"/>
  <c r="O256"/>
  <c r="N256"/>
  <c r="M256"/>
  <c r="R255"/>
  <c r="Q255"/>
  <c r="P255"/>
  <c r="O255"/>
  <c r="N255"/>
  <c r="M255"/>
  <c r="R254"/>
  <c r="Q254"/>
  <c r="P254"/>
  <c r="O254"/>
  <c r="N254"/>
  <c r="M254"/>
  <c r="R253"/>
  <c r="Q253"/>
  <c r="P253"/>
  <c r="O253"/>
  <c r="N253"/>
  <c r="M253"/>
  <c r="R252"/>
  <c r="Q252"/>
  <c r="P252"/>
  <c r="O252"/>
  <c r="N252"/>
  <c r="M252"/>
  <c r="R251"/>
  <c r="Q251"/>
  <c r="P251"/>
  <c r="O251"/>
  <c r="N251"/>
  <c r="M251"/>
  <c r="R250"/>
  <c r="Q250"/>
  <c r="P250"/>
  <c r="O250"/>
  <c r="N250"/>
  <c r="M250"/>
  <c r="R249"/>
  <c r="Q249"/>
  <c r="P249"/>
  <c r="O249"/>
  <c r="N249"/>
  <c r="M249"/>
  <c r="R248"/>
  <c r="Q248"/>
  <c r="P248"/>
  <c r="O248"/>
  <c r="N248"/>
  <c r="M248"/>
  <c r="R247"/>
  <c r="Q247"/>
  <c r="P247"/>
  <c r="O247"/>
  <c r="N247"/>
  <c r="M247"/>
  <c r="R246"/>
  <c r="Q246"/>
  <c r="P246"/>
  <c r="O246"/>
  <c r="N246"/>
  <c r="M246"/>
  <c r="R245"/>
  <c r="Q245"/>
  <c r="P245"/>
  <c r="O245"/>
  <c r="N245"/>
  <c r="M245"/>
  <c r="R244"/>
  <c r="Q244"/>
  <c r="P244"/>
  <c r="O244"/>
  <c r="N244"/>
  <c r="M244"/>
  <c r="R243"/>
  <c r="Q243"/>
  <c r="P243"/>
  <c r="O243"/>
  <c r="N243"/>
  <c r="M243"/>
  <c r="R242"/>
  <c r="Q242"/>
  <c r="P242"/>
  <c r="O242"/>
  <c r="N242"/>
  <c r="M242"/>
  <c r="R241"/>
  <c r="Q241"/>
  <c r="P241"/>
  <c r="O241"/>
  <c r="N241"/>
  <c r="M241"/>
  <c r="R240"/>
  <c r="Q240"/>
  <c r="P240"/>
  <c r="O240"/>
  <c r="N240"/>
  <c r="M240"/>
  <c r="R239"/>
  <c r="Q239"/>
  <c r="P239"/>
  <c r="O239"/>
  <c r="N239"/>
  <c r="M239"/>
  <c r="R238"/>
  <c r="Q238"/>
  <c r="P238"/>
  <c r="O238"/>
  <c r="N238"/>
  <c r="M238"/>
  <c r="R237"/>
  <c r="Q237"/>
  <c r="P237"/>
  <c r="O237"/>
  <c r="N237"/>
  <c r="M237"/>
  <c r="R236"/>
  <c r="Q236"/>
  <c r="P236"/>
  <c r="O236"/>
  <c r="N236"/>
  <c r="M236"/>
  <c r="R235"/>
  <c r="Q235"/>
  <c r="P235"/>
  <c r="O235"/>
  <c r="N235"/>
  <c r="M235"/>
  <c r="R234"/>
  <c r="Q234"/>
  <c r="P234"/>
  <c r="O234"/>
  <c r="N234"/>
  <c r="M234"/>
  <c r="R233"/>
  <c r="Q233"/>
  <c r="P233"/>
  <c r="O233"/>
  <c r="N233"/>
  <c r="M233"/>
  <c r="R232"/>
  <c r="Q232"/>
  <c r="P232"/>
  <c r="O232"/>
  <c r="N232"/>
  <c r="M232"/>
  <c r="R231"/>
  <c r="Q231"/>
  <c r="P231"/>
  <c r="O231"/>
  <c r="N231"/>
  <c r="M231"/>
  <c r="R230"/>
  <c r="Q230"/>
  <c r="P230"/>
  <c r="O230"/>
  <c r="N230"/>
  <c r="M230"/>
  <c r="R229"/>
  <c r="Q229"/>
  <c r="P229"/>
  <c r="O229"/>
  <c r="N229"/>
  <c r="M229"/>
  <c r="R228"/>
  <c r="Q228"/>
  <c r="P228"/>
  <c r="O228"/>
  <c r="N228"/>
  <c r="M228"/>
  <c r="R227"/>
  <c r="Q227"/>
  <c r="P227"/>
  <c r="O227"/>
  <c r="N227"/>
  <c r="M227"/>
  <c r="R226"/>
  <c r="Q226"/>
  <c r="P226"/>
  <c r="O226"/>
  <c r="N226"/>
  <c r="M226"/>
  <c r="R225"/>
  <c r="Q225"/>
  <c r="P225"/>
  <c r="O225"/>
  <c r="N225"/>
  <c r="M225"/>
  <c r="R224"/>
  <c r="Q224"/>
  <c r="P224"/>
  <c r="O224"/>
  <c r="N224"/>
  <c r="M224"/>
  <c r="R223"/>
  <c r="Q223"/>
  <c r="P223"/>
  <c r="O223"/>
  <c r="N223"/>
  <c r="M223"/>
  <c r="R222"/>
  <c r="Q222"/>
  <c r="P222"/>
  <c r="O222"/>
  <c r="N222"/>
  <c r="M222"/>
  <c r="R221"/>
  <c r="Q221"/>
  <c r="P221"/>
  <c r="O221"/>
  <c r="N221"/>
  <c r="M221"/>
  <c r="R220"/>
  <c r="Q220"/>
  <c r="P220"/>
  <c r="O220"/>
  <c r="N220"/>
  <c r="M220"/>
  <c r="R219"/>
  <c r="Q219"/>
  <c r="P219"/>
  <c r="O219"/>
  <c r="N219"/>
  <c r="M219"/>
  <c r="R218"/>
  <c r="Q218"/>
  <c r="P218"/>
  <c r="O218"/>
  <c r="N218"/>
  <c r="M218"/>
  <c r="R217"/>
  <c r="Q217"/>
  <c r="P217"/>
  <c r="O217"/>
  <c r="N217"/>
  <c r="M217"/>
  <c r="R216"/>
  <c r="Q216"/>
  <c r="P216"/>
  <c r="O216"/>
  <c r="N216"/>
  <c r="M216"/>
  <c r="R215"/>
  <c r="Q215"/>
  <c r="P215"/>
  <c r="O215"/>
  <c r="N215"/>
  <c r="M215"/>
  <c r="R214"/>
  <c r="Q214"/>
  <c r="P214"/>
  <c r="O214"/>
  <c r="N214"/>
  <c r="M214"/>
  <c r="R213"/>
  <c r="Q213"/>
  <c r="P213"/>
  <c r="O213"/>
  <c r="N213"/>
  <c r="M213"/>
  <c r="R212"/>
  <c r="Q212"/>
  <c r="P212"/>
  <c r="O212"/>
  <c r="N212"/>
  <c r="M212"/>
  <c r="R211"/>
  <c r="Q211"/>
  <c r="P211"/>
  <c r="O211"/>
  <c r="N211"/>
  <c r="M211"/>
  <c r="R210"/>
  <c r="Q210"/>
  <c r="P210"/>
  <c r="O210"/>
  <c r="N210"/>
  <c r="M210"/>
  <c r="R209"/>
  <c r="Q209"/>
  <c r="P209"/>
  <c r="O209"/>
  <c r="N209"/>
  <c r="M209"/>
  <c r="R208"/>
  <c r="Q208"/>
  <c r="P208"/>
  <c r="O208"/>
  <c r="N208"/>
  <c r="M208"/>
  <c r="R207"/>
  <c r="Q207"/>
  <c r="P207"/>
  <c r="O207"/>
  <c r="N207"/>
  <c r="M207"/>
  <c r="R206"/>
  <c r="Q206"/>
  <c r="P206"/>
  <c r="O206"/>
  <c r="N206"/>
  <c r="M206"/>
  <c r="R205"/>
  <c r="Q205"/>
  <c r="P205"/>
  <c r="O205"/>
  <c r="N205"/>
  <c r="M205"/>
  <c r="R204"/>
  <c r="Q204"/>
  <c r="P204"/>
  <c r="O204"/>
  <c r="N204"/>
  <c r="M204"/>
  <c r="R203"/>
  <c r="Q203"/>
  <c r="P203"/>
  <c r="O203"/>
  <c r="N203"/>
  <c r="M203"/>
  <c r="R202"/>
  <c r="Q202"/>
  <c r="P202"/>
  <c r="O202"/>
  <c r="N202"/>
  <c r="M202"/>
  <c r="R201"/>
  <c r="Q201"/>
  <c r="P201"/>
  <c r="O201"/>
  <c r="N201"/>
  <c r="M201"/>
  <c r="R200"/>
  <c r="Q200"/>
  <c r="P200"/>
  <c r="O200"/>
  <c r="N200"/>
  <c r="M200"/>
  <c r="R199"/>
  <c r="Q199"/>
  <c r="P199"/>
  <c r="O199"/>
  <c r="N199"/>
  <c r="M199"/>
  <c r="R198"/>
  <c r="Q198"/>
  <c r="P198"/>
  <c r="O198"/>
  <c r="N198"/>
  <c r="M198"/>
  <c r="R197"/>
  <c r="Q197"/>
  <c r="P197"/>
  <c r="O197"/>
  <c r="N197"/>
  <c r="M197"/>
  <c r="R196"/>
  <c r="Q196"/>
  <c r="P196"/>
  <c r="O196"/>
  <c r="N196"/>
  <c r="M196"/>
  <c r="R195"/>
  <c r="Q195"/>
  <c r="P195"/>
  <c r="O195"/>
  <c r="N195"/>
  <c r="M195"/>
  <c r="R194"/>
  <c r="Q194"/>
  <c r="P194"/>
  <c r="O194"/>
  <c r="N194"/>
  <c r="M194"/>
  <c r="R193"/>
  <c r="Q193"/>
  <c r="P193"/>
  <c r="O193"/>
  <c r="N193"/>
  <c r="M193"/>
  <c r="R192"/>
  <c r="Q192"/>
  <c r="P192"/>
  <c r="O192"/>
  <c r="N192"/>
  <c r="M192"/>
  <c r="R191"/>
  <c r="Q191"/>
  <c r="P191"/>
  <c r="O191"/>
  <c r="N191"/>
  <c r="M191"/>
  <c r="R190"/>
  <c r="Q190"/>
  <c r="P190"/>
  <c r="O190"/>
  <c r="N190"/>
  <c r="M190"/>
  <c r="R189"/>
  <c r="Q189"/>
  <c r="P189"/>
  <c r="O189"/>
  <c r="N189"/>
  <c r="M189"/>
  <c r="R188"/>
  <c r="Q188"/>
  <c r="P188"/>
  <c r="O188"/>
  <c r="N188"/>
  <c r="M188"/>
  <c r="R187"/>
  <c r="Q187"/>
  <c r="P187"/>
  <c r="O187"/>
  <c r="N187"/>
  <c r="M187"/>
  <c r="R186"/>
  <c r="Q186"/>
  <c r="P186"/>
  <c r="O186"/>
  <c r="N186"/>
  <c r="M186"/>
  <c r="R185"/>
  <c r="Q185"/>
  <c r="P185"/>
  <c r="O185"/>
  <c r="N185"/>
  <c r="M185"/>
  <c r="R184"/>
  <c r="Q184"/>
  <c r="P184"/>
  <c r="O184"/>
  <c r="N184"/>
  <c r="M184"/>
  <c r="R183"/>
  <c r="Q183"/>
  <c r="P183"/>
  <c r="O183"/>
  <c r="N183"/>
  <c r="M183"/>
  <c r="R182"/>
  <c r="Q182"/>
  <c r="P182"/>
  <c r="O182"/>
  <c r="N182"/>
  <c r="M182"/>
  <c r="R181"/>
  <c r="Q181"/>
  <c r="P181"/>
  <c r="O181"/>
  <c r="N181"/>
  <c r="M181"/>
  <c r="R180"/>
  <c r="Q180"/>
  <c r="P180"/>
  <c r="O180"/>
  <c r="N180"/>
  <c r="M180"/>
  <c r="R179"/>
  <c r="Q179"/>
  <c r="P179"/>
  <c r="O179"/>
  <c r="N179"/>
  <c r="M179"/>
  <c r="R178"/>
  <c r="Q178"/>
  <c r="P178"/>
  <c r="O178"/>
  <c r="N178"/>
  <c r="M178"/>
  <c r="R177"/>
  <c r="Q177"/>
  <c r="P177"/>
  <c r="O177"/>
  <c r="N177"/>
  <c r="M177"/>
  <c r="R176"/>
  <c r="Q176"/>
  <c r="P176"/>
  <c r="O176"/>
  <c r="N176"/>
  <c r="M176"/>
  <c r="R175"/>
  <c r="Q175"/>
  <c r="P175"/>
  <c r="O175"/>
  <c r="N175"/>
  <c r="M175"/>
  <c r="R174"/>
  <c r="Q174"/>
  <c r="P174"/>
  <c r="O174"/>
  <c r="N174"/>
  <c r="M174"/>
  <c r="R173"/>
  <c r="Q173"/>
  <c r="P173"/>
  <c r="O173"/>
  <c r="N173"/>
  <c r="M173"/>
  <c r="R172"/>
  <c r="Q172"/>
  <c r="P172"/>
  <c r="O172"/>
  <c r="N172"/>
  <c r="M172"/>
  <c r="R171"/>
  <c r="Q171"/>
  <c r="P171"/>
  <c r="O171"/>
  <c r="N171"/>
  <c r="M171"/>
  <c r="R170"/>
  <c r="Q170"/>
  <c r="P170"/>
  <c r="O170"/>
  <c r="N170"/>
  <c r="M170"/>
  <c r="R169"/>
  <c r="Q169"/>
  <c r="P169"/>
  <c r="O169"/>
  <c r="N169"/>
  <c r="M169"/>
  <c r="R168"/>
  <c r="Q168"/>
  <c r="P168"/>
  <c r="O168"/>
  <c r="N168"/>
  <c r="M168"/>
  <c r="R167"/>
  <c r="Q167"/>
  <c r="P167"/>
  <c r="O167"/>
  <c r="N167"/>
  <c r="M167"/>
  <c r="R166"/>
  <c r="Q166"/>
  <c r="P166"/>
  <c r="O166"/>
  <c r="N166"/>
  <c r="M166"/>
  <c r="R165"/>
  <c r="Q165"/>
  <c r="P165"/>
  <c r="O165"/>
  <c r="N165"/>
  <c r="M165"/>
  <c r="R164"/>
  <c r="Q164"/>
  <c r="P164"/>
  <c r="O164"/>
  <c r="N164"/>
  <c r="M164"/>
  <c r="R163"/>
  <c r="Q163"/>
  <c r="P163"/>
  <c r="O163"/>
  <c r="N163"/>
  <c r="M163"/>
  <c r="R162"/>
  <c r="Q162"/>
  <c r="P162"/>
  <c r="O162"/>
  <c r="N162"/>
  <c r="M162"/>
  <c r="R161"/>
  <c r="Q161"/>
  <c r="P161"/>
  <c r="O161"/>
  <c r="N161"/>
  <c r="M161"/>
  <c r="R160"/>
  <c r="Q160"/>
  <c r="P160"/>
  <c r="O160"/>
  <c r="N160"/>
  <c r="M160"/>
  <c r="R159"/>
  <c r="Q159"/>
  <c r="P159"/>
  <c r="O159"/>
  <c r="N159"/>
  <c r="M159"/>
  <c r="R158"/>
  <c r="Q158"/>
  <c r="P158"/>
  <c r="O158"/>
  <c r="N158"/>
  <c r="M158"/>
  <c r="R157"/>
  <c r="Q157"/>
  <c r="P157"/>
  <c r="O157"/>
  <c r="N157"/>
  <c r="M157"/>
  <c r="R156"/>
  <c r="Q156"/>
  <c r="P156"/>
  <c r="O156"/>
  <c r="N156"/>
  <c r="M156"/>
  <c r="R155"/>
  <c r="Q155"/>
  <c r="P155"/>
  <c r="O155"/>
  <c r="N155"/>
  <c r="M155"/>
  <c r="R154"/>
  <c r="Q154"/>
  <c r="P154"/>
  <c r="O154"/>
  <c r="N154"/>
  <c r="M154"/>
  <c r="R153"/>
  <c r="Q153"/>
  <c r="P153"/>
  <c r="O153"/>
  <c r="N153"/>
  <c r="M153"/>
  <c r="R152"/>
  <c r="Q152"/>
  <c r="P152"/>
  <c r="O152"/>
  <c r="N152"/>
  <c r="M152"/>
  <c r="R151"/>
  <c r="Q151"/>
  <c r="P151"/>
  <c r="O151"/>
  <c r="N151"/>
  <c r="M151"/>
  <c r="R150"/>
  <c r="Q150"/>
  <c r="P150"/>
  <c r="O150"/>
  <c r="N150"/>
  <c r="M150"/>
  <c r="R149"/>
  <c r="Q149"/>
  <c r="P149"/>
  <c r="O149"/>
  <c r="N149"/>
  <c r="M149"/>
  <c r="R148"/>
  <c r="Q148"/>
  <c r="P148"/>
  <c r="O148"/>
  <c r="N148"/>
  <c r="M148"/>
  <c r="R147"/>
  <c r="Q147"/>
  <c r="P147"/>
  <c r="O147"/>
  <c r="N147"/>
  <c r="M147"/>
  <c r="R146"/>
  <c r="Q146"/>
  <c r="P146"/>
  <c r="O146"/>
  <c r="N146"/>
  <c r="M146"/>
  <c r="R145"/>
  <c r="Q145"/>
  <c r="P145"/>
  <c r="O145"/>
  <c r="N145"/>
  <c r="M145"/>
  <c r="R144"/>
  <c r="Q144"/>
  <c r="P144"/>
  <c r="O144"/>
  <c r="N144"/>
  <c r="M144"/>
  <c r="R143"/>
  <c r="Q143"/>
  <c r="P143"/>
  <c r="O143"/>
  <c r="N143"/>
  <c r="M143"/>
  <c r="R142"/>
  <c r="Q142"/>
  <c r="P142"/>
  <c r="O142"/>
  <c r="N142"/>
  <c r="M142"/>
  <c r="R141"/>
  <c r="Q141"/>
  <c r="P141"/>
  <c r="O141"/>
  <c r="N141"/>
  <c r="M141"/>
  <c r="R140"/>
  <c r="Q140"/>
  <c r="P140"/>
  <c r="O140"/>
  <c r="N140"/>
  <c r="M140"/>
  <c r="R139"/>
  <c r="Q139"/>
  <c r="P139"/>
  <c r="O139"/>
  <c r="N139"/>
  <c r="M139"/>
  <c r="R138"/>
  <c r="Q138"/>
  <c r="P138"/>
  <c r="O138"/>
  <c r="N138"/>
  <c r="M138"/>
  <c r="R137"/>
  <c r="Q137"/>
  <c r="P137"/>
  <c r="O137"/>
  <c r="N137"/>
  <c r="M137"/>
  <c r="R136"/>
  <c r="Q136"/>
  <c r="P136"/>
  <c r="O136"/>
  <c r="N136"/>
  <c r="M136"/>
  <c r="R135"/>
  <c r="Q135"/>
  <c r="P135"/>
  <c r="O135"/>
  <c r="N135"/>
  <c r="M135"/>
  <c r="R134"/>
  <c r="Q134"/>
  <c r="P134"/>
  <c r="O134"/>
  <c r="N134"/>
  <c r="M134"/>
  <c r="R133"/>
  <c r="Q133"/>
  <c r="P133"/>
  <c r="O133"/>
  <c r="N133"/>
  <c r="M133"/>
  <c r="R132"/>
  <c r="Q132"/>
  <c r="P132"/>
  <c r="O132"/>
  <c r="N132"/>
  <c r="M132"/>
  <c r="R131"/>
  <c r="Q131"/>
  <c r="P131"/>
  <c r="O131"/>
  <c r="N131"/>
  <c r="M131"/>
  <c r="R130"/>
  <c r="Q130"/>
  <c r="P130"/>
  <c r="O130"/>
  <c r="N130"/>
  <c r="M130"/>
  <c r="R129"/>
  <c r="Q129"/>
  <c r="P129"/>
  <c r="O129"/>
  <c r="N129"/>
  <c r="M129"/>
  <c r="R128"/>
  <c r="Q128"/>
  <c r="P128"/>
  <c r="O128"/>
  <c r="N128"/>
  <c r="M128"/>
  <c r="R127"/>
  <c r="Q127"/>
  <c r="P127"/>
  <c r="O127"/>
  <c r="N127"/>
  <c r="M127"/>
  <c r="R126"/>
  <c r="Q126"/>
  <c r="P126"/>
  <c r="O126"/>
  <c r="N126"/>
  <c r="M126"/>
  <c r="R125"/>
  <c r="Q125"/>
  <c r="P125"/>
  <c r="O125"/>
  <c r="N125"/>
  <c r="M125"/>
  <c r="R124"/>
  <c r="Q124"/>
  <c r="P124"/>
  <c r="O124"/>
  <c r="N124"/>
  <c r="M124"/>
  <c r="R123"/>
  <c r="Q123"/>
  <c r="P123"/>
  <c r="O123"/>
  <c r="N123"/>
  <c r="M123"/>
  <c r="R122"/>
  <c r="Q122"/>
  <c r="P122"/>
  <c r="O122"/>
  <c r="N122"/>
  <c r="M122"/>
  <c r="R121"/>
  <c r="Q121"/>
  <c r="P121"/>
  <c r="O121"/>
  <c r="N121"/>
  <c r="M121"/>
  <c r="R120"/>
  <c r="Q120"/>
  <c r="P120"/>
  <c r="O120"/>
  <c r="N120"/>
  <c r="M120"/>
  <c r="R119"/>
  <c r="Q119"/>
  <c r="P119"/>
  <c r="O119"/>
  <c r="N119"/>
  <c r="M119"/>
  <c r="R118"/>
  <c r="Q118"/>
  <c r="P118"/>
  <c r="O118"/>
  <c r="N118"/>
  <c r="M118"/>
  <c r="R117"/>
  <c r="Q117"/>
  <c r="P117"/>
  <c r="O117"/>
  <c r="N117"/>
  <c r="M117"/>
  <c r="R116"/>
  <c r="Q116"/>
  <c r="P116"/>
  <c r="O116"/>
  <c r="N116"/>
  <c r="M116"/>
  <c r="R115"/>
  <c r="Q115"/>
  <c r="P115"/>
  <c r="O115"/>
  <c r="N115"/>
  <c r="M115"/>
  <c r="R114"/>
  <c r="Q114"/>
  <c r="P114"/>
  <c r="O114"/>
  <c r="N114"/>
  <c r="M114"/>
  <c r="R113"/>
  <c r="Q113"/>
  <c r="P113"/>
  <c r="O113"/>
  <c r="N113"/>
  <c r="M113"/>
  <c r="R112"/>
  <c r="Q112"/>
  <c r="P112"/>
  <c r="O112"/>
  <c r="N112"/>
  <c r="M112"/>
  <c r="R111"/>
  <c r="Q111"/>
  <c r="P111"/>
  <c r="O111"/>
  <c r="N111"/>
  <c r="M111"/>
  <c r="R110"/>
  <c r="Q110"/>
  <c r="P110"/>
  <c r="O110"/>
  <c r="N110"/>
  <c r="M110"/>
  <c r="R109"/>
  <c r="Q109"/>
  <c r="P109"/>
  <c r="O109"/>
  <c r="N109"/>
  <c r="M109"/>
  <c r="R108"/>
  <c r="Q108"/>
  <c r="P108"/>
  <c r="O108"/>
  <c r="N108"/>
  <c r="M108"/>
  <c r="R107"/>
  <c r="Q107"/>
  <c r="P107"/>
  <c r="O107"/>
  <c r="N107"/>
  <c r="M107"/>
  <c r="R106"/>
  <c r="Q106"/>
  <c r="P106"/>
  <c r="O106"/>
  <c r="N106"/>
  <c r="M106"/>
  <c r="R105"/>
  <c r="Q105"/>
  <c r="P105"/>
  <c r="O105"/>
  <c r="N105"/>
  <c r="M105"/>
  <c r="R104"/>
  <c r="Q104"/>
  <c r="P104"/>
  <c r="O104"/>
  <c r="N104"/>
  <c r="M104"/>
  <c r="R103"/>
  <c r="Q103"/>
  <c r="P103"/>
  <c r="O103"/>
  <c r="N103"/>
  <c r="M103"/>
  <c r="R102"/>
  <c r="Q102"/>
  <c r="P102"/>
  <c r="O102"/>
  <c r="N102"/>
  <c r="M102"/>
  <c r="R101"/>
  <c r="Q101"/>
  <c r="P101"/>
  <c r="O101"/>
  <c r="N101"/>
  <c r="M101"/>
  <c r="R100"/>
  <c r="Q100"/>
  <c r="P100"/>
  <c r="O100"/>
  <c r="N100"/>
  <c r="M100"/>
  <c r="R99"/>
  <c r="Q99"/>
  <c r="P99"/>
  <c r="O99"/>
  <c r="N99"/>
  <c r="M99"/>
  <c r="R98"/>
  <c r="Q98"/>
  <c r="P98"/>
  <c r="O98"/>
  <c r="N98"/>
  <c r="M98"/>
  <c r="R97"/>
  <c r="Q97"/>
  <c r="P97"/>
  <c r="O97"/>
  <c r="N97"/>
  <c r="M97"/>
  <c r="R96"/>
  <c r="Q96"/>
  <c r="P96"/>
  <c r="O96"/>
  <c r="N96"/>
  <c r="M96"/>
  <c r="R95"/>
  <c r="Q95"/>
  <c r="P95"/>
  <c r="O95"/>
  <c r="N95"/>
  <c r="M95"/>
  <c r="R94"/>
  <c r="Q94"/>
  <c r="P94"/>
  <c r="O94"/>
  <c r="N94"/>
  <c r="M94"/>
  <c r="R93"/>
  <c r="Q93"/>
  <c r="P93"/>
  <c r="O93"/>
  <c r="N93"/>
  <c r="M93"/>
  <c r="R92"/>
  <c r="Q92"/>
  <c r="P92"/>
  <c r="O92"/>
  <c r="N92"/>
  <c r="M92"/>
  <c r="R91"/>
  <c r="Q91"/>
  <c r="P91"/>
  <c r="O91"/>
  <c r="N91"/>
  <c r="M91"/>
  <c r="R90"/>
  <c r="Q90"/>
  <c r="P90"/>
  <c r="O90"/>
  <c r="N90"/>
  <c r="M90"/>
  <c r="R89"/>
  <c r="Q89"/>
  <c r="P89"/>
  <c r="O89"/>
  <c r="N89"/>
  <c r="M89"/>
  <c r="R88"/>
  <c r="Q88"/>
  <c r="P88"/>
  <c r="O88"/>
  <c r="N88"/>
  <c r="M88"/>
  <c r="R87"/>
  <c r="Q87"/>
  <c r="P87"/>
  <c r="O87"/>
  <c r="N87"/>
  <c r="M87"/>
  <c r="R86"/>
  <c r="Q86"/>
  <c r="P86"/>
  <c r="O86"/>
  <c r="N86"/>
  <c r="M86"/>
  <c r="R85"/>
  <c r="Q85"/>
  <c r="P85"/>
  <c r="O85"/>
  <c r="N85"/>
  <c r="M85"/>
  <c r="R84"/>
  <c r="Q84"/>
  <c r="P84"/>
  <c r="O84"/>
  <c r="N84"/>
  <c r="M84"/>
  <c r="R83"/>
  <c r="Q83"/>
  <c r="P83"/>
  <c r="O83"/>
  <c r="N83"/>
  <c r="M83"/>
  <c r="R82"/>
  <c r="Q82"/>
  <c r="P82"/>
  <c r="O82"/>
  <c r="N82"/>
  <c r="M82"/>
  <c r="R81"/>
  <c r="Q81"/>
  <c r="P81"/>
  <c r="O81"/>
  <c r="N81"/>
  <c r="M81"/>
  <c r="R80"/>
  <c r="Q80"/>
  <c r="P80"/>
  <c r="O80"/>
  <c r="N80"/>
  <c r="M80"/>
  <c r="R79"/>
  <c r="Q79"/>
  <c r="P79"/>
  <c r="O79"/>
  <c r="N79"/>
  <c r="M79"/>
  <c r="R78"/>
  <c r="Q78"/>
  <c r="P78"/>
  <c r="O78"/>
  <c r="N78"/>
  <c r="M78"/>
  <c r="R77"/>
  <c r="Q77"/>
  <c r="P77"/>
  <c r="O77"/>
  <c r="N77"/>
  <c r="M77"/>
  <c r="R76"/>
  <c r="Q76"/>
  <c r="P76"/>
  <c r="O76"/>
  <c r="N76"/>
  <c r="M76"/>
  <c r="R75"/>
  <c r="Q75"/>
  <c r="P75"/>
  <c r="O75"/>
  <c r="N75"/>
  <c r="M75"/>
  <c r="R74"/>
  <c r="Q74"/>
  <c r="P74"/>
  <c r="O74"/>
  <c r="N74"/>
  <c r="M74"/>
  <c r="R73"/>
  <c r="Q73"/>
  <c r="P73"/>
  <c r="O73"/>
  <c r="N73"/>
  <c r="M73"/>
  <c r="R72"/>
  <c r="Q72"/>
  <c r="P72"/>
  <c r="O72"/>
  <c r="N72"/>
  <c r="M72"/>
  <c r="R71"/>
  <c r="Q71"/>
  <c r="P71"/>
  <c r="O71"/>
  <c r="N71"/>
  <c r="M71"/>
  <c r="R70"/>
  <c r="Q70"/>
  <c r="P70"/>
  <c r="O70"/>
  <c r="N70"/>
  <c r="M70"/>
  <c r="R69"/>
  <c r="Q69"/>
  <c r="P69"/>
  <c r="O69"/>
  <c r="N69"/>
  <c r="M69"/>
  <c r="R68"/>
  <c r="Q68"/>
  <c r="P68"/>
  <c r="O68"/>
  <c r="N68"/>
  <c r="M68"/>
  <c r="R67"/>
  <c r="Q67"/>
  <c r="P67"/>
  <c r="O67"/>
  <c r="N67"/>
  <c r="M67"/>
  <c r="R66"/>
  <c r="Q66"/>
  <c r="P66"/>
  <c r="O66"/>
  <c r="N66"/>
  <c r="M66"/>
  <c r="R65"/>
  <c r="Q65"/>
  <c r="P65"/>
  <c r="O65"/>
  <c r="N65"/>
  <c r="M65"/>
  <c r="R64"/>
  <c r="Q64"/>
  <c r="P64"/>
  <c r="O64"/>
  <c r="N64"/>
  <c r="M64"/>
  <c r="R63"/>
  <c r="Q63"/>
  <c r="P63"/>
  <c r="O63"/>
  <c r="N63"/>
  <c r="M63"/>
  <c r="R62"/>
  <c r="Q62"/>
  <c r="P62"/>
  <c r="O62"/>
  <c r="N62"/>
  <c r="M62"/>
  <c r="R61"/>
  <c r="Q61"/>
  <c r="P61"/>
  <c r="O61"/>
  <c r="N61"/>
  <c r="M61"/>
  <c r="R60"/>
  <c r="Q60"/>
  <c r="P60"/>
  <c r="O60"/>
  <c r="N60"/>
  <c r="M60"/>
  <c r="R59"/>
  <c r="Q59"/>
  <c r="P59"/>
  <c r="O59"/>
  <c r="N59"/>
  <c r="M59"/>
  <c r="R58"/>
  <c r="Q58"/>
  <c r="P58"/>
  <c r="O58"/>
  <c r="N58"/>
  <c r="M58"/>
  <c r="R57"/>
  <c r="Q57"/>
  <c r="P57"/>
  <c r="O57"/>
  <c r="N57"/>
  <c r="M57"/>
  <c r="R56"/>
  <c r="Q56"/>
  <c r="P56"/>
  <c r="O56"/>
  <c r="N56"/>
  <c r="M56"/>
  <c r="R55"/>
  <c r="Q55"/>
  <c r="P55"/>
  <c r="O55"/>
  <c r="N55"/>
  <c r="M55"/>
  <c r="R54"/>
  <c r="Q54"/>
  <c r="P54"/>
  <c r="O54"/>
  <c r="N54"/>
  <c r="M54"/>
  <c r="R53"/>
  <c r="Q53"/>
  <c r="P53"/>
  <c r="O53"/>
  <c r="N53"/>
  <c r="M53"/>
  <c r="R52"/>
  <c r="Q52"/>
  <c r="P52"/>
  <c r="O52"/>
  <c r="N52"/>
  <c r="M52"/>
  <c r="R51"/>
  <c r="Q51"/>
  <c r="P51"/>
  <c r="O51"/>
  <c r="N51"/>
  <c r="M51"/>
  <c r="R50"/>
  <c r="Q50"/>
  <c r="P50"/>
  <c r="O50"/>
  <c r="N50"/>
  <c r="M50"/>
  <c r="R49"/>
  <c r="Q49"/>
  <c r="P49"/>
  <c r="O49"/>
  <c r="N49"/>
  <c r="M49"/>
  <c r="R48"/>
  <c r="Q48"/>
  <c r="P48"/>
  <c r="O48"/>
  <c r="N48"/>
  <c r="M48"/>
  <c r="R47"/>
  <c r="Q47"/>
  <c r="P47"/>
  <c r="O47"/>
  <c r="N47"/>
  <c r="M47"/>
  <c r="R46"/>
  <c r="Q46"/>
  <c r="P46"/>
  <c r="O46"/>
  <c r="N46"/>
  <c r="M46"/>
  <c r="R45"/>
  <c r="Q45"/>
  <c r="P45"/>
  <c r="O45"/>
  <c r="N45"/>
  <c r="M45"/>
  <c r="R44"/>
  <c r="Q44"/>
  <c r="P44"/>
  <c r="O44"/>
  <c r="N44"/>
  <c r="M44"/>
  <c r="R43"/>
  <c r="Q43"/>
  <c r="P43"/>
  <c r="O43"/>
  <c r="N43"/>
  <c r="M43"/>
  <c r="R42"/>
  <c r="Q42"/>
  <c r="P42"/>
  <c r="O42"/>
  <c r="N42"/>
  <c r="M42"/>
  <c r="R41"/>
  <c r="Q41"/>
  <c r="P41"/>
  <c r="O41"/>
  <c r="N41"/>
  <c r="M41"/>
  <c r="R40"/>
  <c r="Q40"/>
  <c r="P40"/>
  <c r="O40"/>
  <c r="N40"/>
  <c r="M40"/>
  <c r="R39"/>
  <c r="Q39"/>
  <c r="P39"/>
  <c r="O39"/>
  <c r="N39"/>
  <c r="M39"/>
  <c r="R38"/>
  <c r="Q38"/>
  <c r="P38"/>
  <c r="O38"/>
  <c r="N38"/>
  <c r="M38"/>
  <c r="R37"/>
  <c r="Q37"/>
  <c r="P37"/>
  <c r="O37"/>
  <c r="N37"/>
  <c r="M37"/>
  <c r="R36"/>
  <c r="Q36"/>
  <c r="P36"/>
  <c r="O36"/>
  <c r="N36"/>
  <c r="M36"/>
  <c r="R35"/>
  <c r="Q35"/>
  <c r="P35"/>
  <c r="O35"/>
  <c r="N35"/>
  <c r="M35"/>
  <c r="R34"/>
  <c r="Q34"/>
  <c r="P34"/>
  <c r="O34"/>
  <c r="N34"/>
  <c r="M34"/>
  <c r="R33"/>
  <c r="Q33"/>
  <c r="P33"/>
  <c r="O33"/>
  <c r="N33"/>
  <c r="M33"/>
  <c r="R32"/>
  <c r="Q32"/>
  <c r="P32"/>
  <c r="O32"/>
  <c r="N32"/>
  <c r="M32"/>
  <c r="R31"/>
  <c r="Q31"/>
  <c r="P31"/>
  <c r="O31"/>
  <c r="N31"/>
  <c r="M31"/>
  <c r="R30"/>
  <c r="Q30"/>
  <c r="P30"/>
  <c r="O30"/>
  <c r="N30"/>
  <c r="M30"/>
  <c r="R29"/>
  <c r="Q29"/>
  <c r="P29"/>
  <c r="O29"/>
  <c r="N29"/>
  <c r="M29"/>
  <c r="R28"/>
  <c r="Q28"/>
  <c r="P28"/>
  <c r="O28"/>
  <c r="N28"/>
  <c r="M28"/>
  <c r="R27"/>
  <c r="Q27"/>
  <c r="P27"/>
  <c r="O27"/>
  <c r="N27"/>
  <c r="M27"/>
  <c r="R26"/>
  <c r="Q26"/>
  <c r="P26"/>
  <c r="O26"/>
  <c r="N26"/>
  <c r="M26"/>
  <c r="R25"/>
  <c r="Q25"/>
  <c r="P25"/>
  <c r="O25"/>
  <c r="N25"/>
  <c r="M25"/>
  <c r="R24"/>
  <c r="Q24"/>
  <c r="P24"/>
  <c r="O24"/>
  <c r="N24"/>
  <c r="M24"/>
  <c r="R23"/>
  <c r="Q23"/>
  <c r="P23"/>
  <c r="O23"/>
  <c r="N23"/>
  <c r="M23"/>
  <c r="R22"/>
  <c r="Q22"/>
  <c r="P22"/>
  <c r="O22"/>
  <c r="N22"/>
  <c r="M22"/>
  <c r="R21"/>
  <c r="Q21"/>
  <c r="P21"/>
  <c r="O21"/>
  <c r="N21"/>
  <c r="M21"/>
  <c r="R20"/>
  <c r="Q20"/>
  <c r="P20"/>
  <c r="O20"/>
  <c r="N20"/>
  <c r="M20"/>
  <c r="R19"/>
  <c r="Q19"/>
  <c r="P19"/>
  <c r="O19"/>
  <c r="N19"/>
  <c r="M19"/>
  <c r="R18"/>
  <c r="Q18"/>
  <c r="P18"/>
  <c r="O18"/>
  <c r="N18"/>
  <c r="M18"/>
  <c r="R17"/>
  <c r="Q17"/>
  <c r="P17"/>
  <c r="O17"/>
  <c r="N17"/>
  <c r="M17"/>
  <c r="R16"/>
  <c r="Q16"/>
  <c r="P16"/>
  <c r="O16"/>
  <c r="N16"/>
  <c r="M16"/>
  <c r="R15"/>
  <c r="Q15"/>
  <c r="P15"/>
  <c r="O15"/>
  <c r="N15"/>
  <c r="M15"/>
  <c r="R14"/>
  <c r="Q14"/>
  <c r="P14"/>
  <c r="O14"/>
  <c r="N14"/>
  <c r="M14"/>
  <c r="R13"/>
  <c r="Q13"/>
  <c r="P13"/>
  <c r="O13"/>
  <c r="N13"/>
  <c r="M13"/>
  <c r="R12"/>
  <c r="Q12"/>
  <c r="P12"/>
  <c r="O12"/>
  <c r="N12"/>
  <c r="M12"/>
  <c r="R11"/>
  <c r="Q11"/>
  <c r="P11"/>
  <c r="O11"/>
  <c r="N11"/>
  <c r="M11"/>
  <c r="R10"/>
  <c r="Q10"/>
  <c r="P10"/>
  <c r="O10"/>
  <c r="N10"/>
  <c r="M10"/>
  <c r="R9"/>
  <c r="Q9"/>
  <c r="P9"/>
  <c r="O9"/>
  <c r="N9"/>
  <c r="M9"/>
  <c r="R8"/>
  <c r="Q8"/>
  <c r="P8"/>
  <c r="O8"/>
  <c r="N8"/>
  <c r="M8"/>
  <c r="R7"/>
  <c r="Q7"/>
  <c r="P7"/>
  <c r="O7"/>
  <c r="N7"/>
  <c r="M7"/>
  <c r="R6"/>
  <c r="Q6"/>
  <c r="P6"/>
  <c r="O6"/>
  <c r="N6"/>
  <c r="M6"/>
  <c r="R5"/>
  <c r="Q5"/>
  <c r="P5"/>
  <c r="O5"/>
  <c r="N5"/>
  <c r="M5"/>
  <c r="R4"/>
  <c r="Q4"/>
  <c r="P4"/>
  <c r="O4"/>
  <c r="N4"/>
  <c r="M4"/>
  <c r="R3"/>
  <c r="Q3"/>
  <c r="P3"/>
  <c r="O3"/>
  <c r="N3"/>
  <c r="M3"/>
  <c r="R2"/>
  <c r="Q2"/>
  <c r="P2"/>
  <c r="O2"/>
  <c r="N2"/>
  <c r="M2"/>
</calcChain>
</file>

<file path=xl/sharedStrings.xml><?xml version="1.0" encoding="utf-8"?>
<sst xmlns="http://schemas.openxmlformats.org/spreadsheetml/2006/main" count="3011" uniqueCount="142">
  <si>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</si>
  <si>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</si>
  <si>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</si>
  <si>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</si>
  <si>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</si>
  <si>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</si>
  <si>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</si>
  <si>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</si>
  <si>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</si>
  <si>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</si>
  <si>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</si>
  <si>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</si>
  <si>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</si>
  <si>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</si>
  <si>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</si>
  <si>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</si>
  <si>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</si>
  <si>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</si>
  <si>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</si>
  <si>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</si>
  <si>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</si>
  <si>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</si>
  <si>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</si>
  <si>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</si>
  <si>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</si>
  <si>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</si>
  <si>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</si>
  <si>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</si>
  <si>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</si>
  <si>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</si>
  <si>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</si>
  <si>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</si>
  <si>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</si>
  <si>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</si>
  <si>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</si>
  <si>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</si>
  <si>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</si>
  <si>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</si>
  <si>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</si>
  <si>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</si>
  <si>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</si>
  <si>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</si>
  <si>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</si>
  <si>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</si>
  <si>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</si>
  <si>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</si>
  <si>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</si>
  <si>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</si>
  <si>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</si>
  <si>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</si>
  <si>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</si>
  <si>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</si>
  <si>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</si>
  <si>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</si>
  <si>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</si>
  <si>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</si>
  <si>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</si>
  <si>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</si>
  <si>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</si>
  <si>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</si>
  <si>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</si>
  <si>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</si>
  <si>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</si>
  <si>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</si>
  <si>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</si>
  <si>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</si>
  <si>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</si>
  <si>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</si>
  <si>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</si>
  <si>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</si>
  <si>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</si>
  <si>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</si>
  <si>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</si>
  <si>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</si>
  <si>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</si>
  <si>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</si>
  <si>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</si>
  <si>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</si>
  <si>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</si>
  <si>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</si>
  <si>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</si>
  <si>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</si>
  <si>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</si>
  <si>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</si>
  <si>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</si>
  <si>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</si>
  <si>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</si>
  <si>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</si>
  <si>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</si>
  <si>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</si>
  <si>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</si>
  <si>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</si>
  <si>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</si>
  <si>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</si>
  <si>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</si>
  <si>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</si>
  <si>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</si>
  <si>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</si>
  <si>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</si>
  <si>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</si>
  <si>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</si>
  <si>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</si>
  <si>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</si>
  <si>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</si>
  <si>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Region_East</t>
  </si>
  <si>
    <t>Store_Mall</t>
  </si>
  <si>
    <t>Store_highStreet</t>
  </si>
  <si>
    <t>Store_Airport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</si>
  <si>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</si>
  <si>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</si>
  <si>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</si>
  <si>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</si>
  <si>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</si>
  <si>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</si>
  <si>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</si>
  <si>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</si>
  <si>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</si>
  <si>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</si>
  <si>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</si>
  <si>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</si>
  <si>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</si>
  <si>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</si>
  <si>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</si>
  <si>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</si>
  <si>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</si>
  <si>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</si>
  <si>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</si>
  <si>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</si>
  <si>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</si>
  <si>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</si>
  <si>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</si>
  <si>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</si>
  <si>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Sales</t>
  </si>
  <si>
    <t>Metric</t>
  </si>
  <si>
    <t>Multiple Regression</t>
  </si>
  <si>
    <t>Single Regression</t>
  </si>
  <si>
    <t>Significant F</t>
  </si>
  <si>
    <t>Number of Predictors</t>
  </si>
  <si>
    <t>Better Model?</t>
  </si>
  <si>
    <t>No</t>
  </si>
  <si>
    <t>Yes</t>
  </si>
  <si>
    <t>Squared Residual</t>
  </si>
</sst>
</file>

<file path=xl/styles.xml><?xml version="1.0" encoding="utf-8"?>
<styleSheet xmlns="http://schemas.openxmlformats.org/spreadsheetml/2006/main">
  <numFmts count="1">
    <numFmt numFmtId="164" formatCode="yyyy\-mm"/>
  </numFmts>
  <fonts count="7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b/>
      <sz val="11"/>
      <color theme="1"/>
      <name val="Carlito"/>
      <scheme val="minor"/>
    </font>
    <font>
      <i/>
      <sz val="11"/>
      <color rgb="FF000000"/>
      <name val="Carlito"/>
      <scheme val="minor"/>
    </font>
    <font>
      <b/>
      <sz val="11"/>
      <color rgb="FF000000"/>
      <name val="Carlito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4" fillId="0" borderId="0" xfId="0" applyFont="1" applyAlignment="1">
      <alignment horizontal="center" wrapText="1"/>
    </xf>
    <xf numFmtId="0" fontId="0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3" xfId="0" applyFont="1" applyBorder="1" applyAlignment="1">
      <alignment horizontal="center" vertical="center" wrapText="1"/>
    </xf>
    <xf numFmtId="11" fontId="0" fillId="0" borderId="3" xfId="0" applyNumberFormat="1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4" width="16" customWidth="1"/>
    <col min="15" max="26" width="8.625" customWidth="1"/>
  </cols>
  <sheetData>
    <row r="1" spans="1:14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 ht="14.25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 ht="14.25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 ht="14.25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 ht="14.25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 ht="14.25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 ht="14.25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 ht="14.25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 ht="14.25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 ht="14.25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 ht="14.25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 ht="14.25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 ht="14.25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 ht="14.25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 ht="14.25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 ht="14.25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 ht="14.25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 ht="14.25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 ht="14.25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 ht="15.75" customHeight="1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 ht="15.75" customHeight="1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 ht="15.75" customHeight="1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 ht="15.75" customHeight="1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 ht="15.75" customHeight="1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 ht="15.75" customHeight="1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 ht="15.75" customHeight="1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 ht="15.75" customHeight="1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 ht="15.75" customHeight="1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 ht="15.75" customHeight="1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 ht="15.75" customHeight="1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 ht="15.75" customHeight="1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 ht="15.75" customHeight="1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 ht="15.75" customHeight="1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 ht="15.75" customHeight="1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 ht="15.75" customHeight="1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 ht="15.75" customHeight="1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 ht="15.75" customHeight="1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 ht="15.75" customHeight="1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 ht="15.75" customHeight="1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 ht="15.75" customHeight="1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 ht="15.75" customHeight="1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 ht="15.75" customHeight="1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 ht="15.75" customHeight="1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 ht="15.75" customHeight="1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 ht="15.75" customHeight="1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 ht="15.75" customHeight="1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 ht="15.75" customHeight="1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 ht="15.75" customHeight="1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 ht="15.75" customHeight="1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 ht="15.75" customHeight="1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 ht="15.75" customHeight="1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 ht="15.75" customHeight="1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 ht="15.75" customHeight="1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 ht="15.75" customHeight="1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 ht="15.75" customHeight="1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 ht="15.75" customHeight="1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 ht="15.75" customHeight="1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 ht="15.75" customHeight="1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 ht="15.75" customHeight="1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 ht="15.75" customHeight="1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 ht="15.75" customHeight="1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 ht="15.75" customHeight="1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 ht="15.75" customHeight="1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 ht="15.75" customHeight="1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 ht="15.75" customHeight="1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 ht="15.75" customHeight="1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 ht="15.75" customHeight="1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 ht="15.75" customHeight="1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 ht="15.75" customHeight="1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 ht="15.75" customHeight="1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 ht="15.75" customHeight="1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 ht="15.75" customHeight="1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 ht="15.75" customHeight="1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 ht="15.75" customHeight="1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 ht="15.75" customHeight="1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 ht="15.75" customHeight="1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 ht="15.75" customHeight="1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 ht="15.75" customHeight="1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 ht="15.75" customHeight="1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 ht="15.75" customHeight="1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 ht="15.75" customHeight="1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 ht="15.75" customHeight="1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 ht="15.75" customHeight="1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 ht="15.75" customHeight="1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 ht="15.75" customHeight="1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 ht="15.75" customHeight="1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 ht="15.75" customHeight="1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 ht="15.75" customHeight="1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 ht="15.75" customHeight="1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 ht="15.75" customHeight="1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 ht="15.75" customHeight="1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 ht="15.75" customHeight="1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 ht="15.75" customHeight="1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 ht="15.75" customHeight="1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 ht="15.75" customHeight="1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 ht="15.75" customHeight="1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 ht="15.75" customHeight="1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 ht="15.75" customHeight="1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 ht="15.75" customHeight="1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 ht="15.75" customHeight="1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 ht="15.75" customHeight="1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 ht="15.75" customHeight="1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 ht="15.75" customHeight="1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 ht="15.75" customHeight="1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 ht="15.75" customHeight="1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 ht="15.75" customHeight="1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 ht="15.75" customHeight="1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 ht="15.75" customHeight="1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 ht="15.75" customHeight="1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 ht="15.75" customHeight="1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 ht="15.75" customHeight="1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 ht="15.75" customHeight="1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 ht="15.75" customHeight="1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 ht="15.75" customHeight="1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 ht="15.75" customHeight="1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 ht="15.75" customHeight="1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 ht="15.75" customHeight="1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 ht="15.75" customHeight="1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 ht="15.75" customHeight="1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 ht="15.75" customHeight="1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 ht="15.75" customHeight="1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 ht="15.75" customHeight="1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 ht="15.75" customHeight="1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 ht="15.75" customHeight="1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 ht="15.75" customHeight="1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 ht="15.75" customHeight="1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 ht="15.75" customHeight="1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 ht="15.75" customHeight="1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 ht="15.75" customHeight="1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 ht="15.75" customHeight="1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 ht="15.75" customHeight="1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 ht="15.75" customHeight="1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 ht="15.75" customHeight="1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 ht="15.75" customHeight="1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 ht="15.75" customHeight="1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 ht="15.75" customHeight="1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 ht="15.75" customHeight="1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 ht="15.75" customHeight="1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 ht="15.75" customHeight="1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 ht="15.75" customHeight="1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 ht="15.75" customHeight="1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 ht="15.75" customHeight="1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 ht="15.75" customHeight="1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 ht="15.75" customHeight="1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 ht="15.75" customHeight="1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 ht="15.75" customHeight="1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 ht="15.75" customHeight="1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 ht="15.75" customHeight="1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 ht="15.75" customHeight="1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 ht="15.75" customHeight="1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 ht="15.75" customHeight="1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 ht="15.75" customHeight="1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 ht="15.75" customHeight="1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 ht="15.75" customHeight="1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 ht="15.75" customHeight="1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 ht="15.75" customHeight="1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 ht="15.75" customHeight="1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 ht="15.75" customHeight="1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 ht="15.75" customHeight="1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 ht="15.75" customHeight="1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 ht="15.75" customHeight="1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 ht="15.75" customHeight="1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 ht="15.75" customHeight="1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 ht="15.75" customHeight="1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 ht="15.75" customHeight="1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 ht="15.75" customHeight="1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 ht="15.75" customHeight="1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 ht="15.75" customHeight="1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 ht="15.75" customHeight="1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 ht="15.75" customHeight="1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 ht="15.75" customHeight="1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 ht="15.75" customHeight="1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 ht="15.75" customHeight="1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 ht="15.75" customHeight="1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 ht="15.75" customHeight="1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 ht="15.75" customHeight="1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 ht="15.75" customHeight="1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 ht="15.75" customHeight="1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 ht="15.75" customHeight="1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 ht="15.75" customHeight="1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 ht="15.75" customHeight="1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 ht="15.75" customHeight="1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 ht="15.75" customHeight="1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 ht="15.75" customHeight="1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 ht="15.75" customHeight="1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 ht="15.75" customHeight="1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 ht="15.75" customHeight="1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 ht="15.75" customHeight="1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 ht="15.75" customHeight="1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 ht="15.75" customHeight="1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 ht="15.75" customHeight="1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 ht="15.75" customHeight="1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 ht="15.75" customHeight="1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 ht="15.75" customHeight="1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 ht="15.75" customHeight="1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 ht="15.75" customHeight="1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 ht="15.75" customHeight="1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 ht="15.75" customHeight="1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 ht="15.75" customHeight="1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 ht="15.75" customHeight="1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 ht="15.75" customHeight="1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 ht="15.75" customHeight="1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 ht="15.75" customHeight="1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 ht="15.75" customHeight="1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 ht="15.75" customHeight="1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 ht="15.75" customHeight="1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 ht="15.75" customHeight="1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 ht="15.75" customHeight="1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 ht="15.75" customHeight="1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 ht="15.75" customHeight="1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 ht="15.75" customHeight="1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 ht="15.75" customHeight="1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 ht="15.75" customHeight="1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 ht="15.75" customHeight="1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 ht="15.75" customHeight="1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 ht="15.75" customHeight="1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 ht="15.75" customHeight="1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 ht="15.75" customHeight="1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 ht="15.75" customHeight="1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 ht="15.75" customHeight="1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 ht="15.75" customHeight="1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 ht="15.75" customHeight="1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 ht="15.75" customHeight="1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 ht="15.75" customHeight="1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 ht="15.75" customHeight="1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 ht="15.75" customHeight="1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 ht="15.75" customHeight="1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 ht="15.75" customHeight="1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 ht="15.75" customHeight="1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 ht="15.75" customHeight="1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 ht="15.75" customHeight="1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 ht="15.75" customHeight="1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 ht="15.75" customHeight="1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 ht="15.75" customHeight="1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 ht="15.75" customHeight="1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 ht="15.75" customHeight="1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 ht="15.75" customHeight="1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 ht="15.75" customHeight="1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 ht="15.75" customHeight="1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 ht="15.75" customHeight="1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 ht="15.75" customHeight="1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 ht="15.75" customHeight="1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 ht="15.75" customHeight="1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 ht="15.75" customHeight="1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 ht="15.75" customHeight="1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 ht="15.75" customHeight="1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 ht="15.75" customHeight="1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 ht="15.75" customHeight="1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 ht="15.75" customHeight="1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 ht="15.75" customHeight="1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 ht="15.75" customHeight="1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 ht="15.75" customHeight="1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 ht="15.75" customHeight="1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 ht="15.75" customHeight="1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 ht="15.75" customHeight="1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 ht="15.75" customHeight="1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 ht="15.75" customHeight="1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 ht="15.75" customHeight="1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 ht="15.75" customHeight="1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 ht="15.75" customHeight="1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 ht="15.75" customHeight="1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 ht="15.75" customHeight="1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 ht="15.75" customHeight="1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 ht="15.75" customHeight="1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 ht="15.75" customHeight="1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 ht="15.75" customHeight="1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 ht="15.75" customHeight="1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 ht="15.75" customHeight="1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 ht="15.75" customHeight="1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 ht="15.75" customHeight="1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 ht="15.75" customHeight="1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 ht="15.75" customHeight="1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 ht="15.75" customHeight="1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 ht="15.75" customHeight="1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 ht="15.75" customHeight="1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 ht="15.75" customHeight="1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 ht="15.75" customHeight="1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 ht="15.75" customHeight="1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 ht="15.75" customHeight="1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 ht="15.75" customHeight="1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 ht="15.75" customHeight="1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 ht="15.75" customHeight="1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 ht="15.75" customHeight="1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 ht="15.75" customHeight="1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 ht="15.75" customHeight="1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 ht="15.75" customHeight="1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 ht="15.75" customHeight="1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 ht="15.75" customHeight="1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 ht="15.75" customHeight="1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 ht="15.75" customHeight="1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 ht="15.75" customHeight="1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 ht="15.75" customHeight="1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 ht="15.75" customHeight="1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 ht="15.75" customHeight="1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 ht="15.75" customHeight="1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 ht="15.75" customHeight="1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 ht="15.75" customHeight="1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 ht="15.75" customHeight="1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 ht="15.75" customHeight="1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 ht="15.75" customHeight="1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 ht="15.75" customHeight="1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 ht="15.75" customHeight="1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 ht="15.75" customHeight="1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 ht="15.75" customHeight="1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 ht="15.75" customHeight="1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 ht="15.75" customHeight="1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 ht="15.75" customHeight="1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 ht="15.75" customHeight="1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 ht="15.75" customHeight="1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 ht="15.75" customHeight="1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 ht="15.75" customHeight="1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 ht="15.75" customHeight="1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 ht="15.75" customHeight="1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 ht="15.75" customHeight="1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 ht="15.75" customHeight="1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 ht="15.75" customHeight="1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 ht="15.75" customHeight="1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 ht="15.75" customHeight="1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 ht="15.75" customHeight="1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 ht="15.75" customHeight="1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  <row r="322" spans="1:14" ht="15.75" customHeight="1"/>
    <row r="323" spans="1:14" ht="15.75" customHeight="1"/>
    <row r="324" spans="1:14" ht="15.75" customHeight="1"/>
    <row r="325" spans="1:14" ht="15.75" customHeight="1"/>
    <row r="326" spans="1:14" ht="15.75" customHeight="1"/>
    <row r="327" spans="1:14" ht="15.75" customHeight="1"/>
    <row r="328" spans="1:14" ht="15.75" customHeight="1"/>
    <row r="329" spans="1:14" ht="15.75" customHeight="1"/>
    <row r="330" spans="1:14" ht="15.75" customHeight="1"/>
    <row r="331" spans="1:14" ht="15.75" customHeight="1"/>
    <row r="332" spans="1:14" ht="15.75" customHeight="1"/>
    <row r="333" spans="1:14" ht="15.75" customHeight="1"/>
    <row r="334" spans="1:14" ht="15.75" customHeight="1"/>
    <row r="335" spans="1:14" ht="15.75" customHeight="1"/>
    <row r="336" spans="1:1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321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4">
        <v>3.9</v>
      </c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3.3650000000000002</v>
      </c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4">
        <v>3.9</v>
      </c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3.3650000000000002</v>
      </c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4">
        <v>3.9</v>
      </c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4">
        <v>3.9</v>
      </c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3.3650000000000002</v>
      </c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4">
        <v>3.9</v>
      </c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4">
        <v>3.9</v>
      </c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3.3650000000000002</v>
      </c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3.3650000000000002</v>
      </c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3.3650000000000002</v>
      </c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4">
        <v>3.9</v>
      </c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4">
        <v>3.9</v>
      </c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V321"/>
  <sheetViews>
    <sheetView topLeftCell="B1" zoomScale="85" zoomScaleNormal="85" workbookViewId="0">
      <pane ySplit="1" topLeftCell="A2" activePane="bottomLeft" state="frozen"/>
      <selection pane="bottomLeft" activeCell="T1" sqref="T1:V1048576"/>
    </sheetView>
  </sheetViews>
  <sheetFormatPr defaultColWidth="12.625" defaultRowHeight="15" customHeight="1"/>
  <sheetData>
    <row r="1" spans="1:22" s="14" customFormat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102</v>
      </c>
      <c r="N1" s="11" t="s">
        <v>103</v>
      </c>
      <c r="O1" s="11" t="s">
        <v>104</v>
      </c>
      <c r="P1" s="13" t="s">
        <v>105</v>
      </c>
      <c r="Q1" s="13" t="s">
        <v>106</v>
      </c>
      <c r="R1" s="13" t="s">
        <v>107</v>
      </c>
      <c r="S1" s="1" t="s">
        <v>13</v>
      </c>
      <c r="T1" s="1" t="s">
        <v>12</v>
      </c>
      <c r="U1" s="14" t="s">
        <v>132</v>
      </c>
      <c r="V1" t="s">
        <v>117</v>
      </c>
    </row>
    <row r="2" spans="1:22" ht="14.25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5">
        <f t="shared" ref="M2:M321" si="0">IF(C2="North",1,0)</f>
        <v>0</v>
      </c>
      <c r="N2" s="5">
        <f t="shared" ref="N2:N321" si="1">IF(C2="South",1,0)</f>
        <v>0</v>
      </c>
      <c r="O2" s="5">
        <f t="shared" ref="O2:O321" si="2">IF(C2="East",1,0)</f>
        <v>1</v>
      </c>
      <c r="P2" s="5">
        <f t="shared" ref="P2:P321" si="3">IF(D2="Mall",1,0)</f>
        <v>0</v>
      </c>
      <c r="Q2" s="5">
        <f t="shared" ref="Q2:Q321" si="4">IF(D2="High Street",1,0)</f>
        <v>0</v>
      </c>
      <c r="R2" s="5">
        <f t="shared" ref="R2:R321" si="5">IF(D2="Airport",1,0)</f>
        <v>0</v>
      </c>
      <c r="S2" s="2">
        <v>84349.93</v>
      </c>
      <c r="T2" s="2">
        <v>658832.62</v>
      </c>
      <c r="U2" s="12">
        <f>561666.3931+(2.118660411*E2)</f>
        <v>710797.01382252423</v>
      </c>
      <c r="V2">
        <f>T2-U2</f>
        <v>-51964.393822524231</v>
      </c>
    </row>
    <row r="3" spans="1:22" ht="14.25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5">
        <f t="shared" si="0"/>
        <v>0</v>
      </c>
      <c r="N3" s="5">
        <f t="shared" si="1"/>
        <v>0</v>
      </c>
      <c r="O3" s="5">
        <f t="shared" si="2"/>
        <v>1</v>
      </c>
      <c r="P3" s="5">
        <f t="shared" si="3"/>
        <v>0</v>
      </c>
      <c r="Q3" s="5">
        <f t="shared" si="4"/>
        <v>0</v>
      </c>
      <c r="R3" s="5">
        <f t="shared" si="5"/>
        <v>0</v>
      </c>
      <c r="S3" s="2">
        <v>106130.54</v>
      </c>
      <c r="T3" s="2">
        <v>634436</v>
      </c>
      <c r="U3" s="12">
        <f t="shared" ref="U3:U66" si="6">561666.3931+(2.118660411*E3)</f>
        <v>654522.80854066275</v>
      </c>
      <c r="V3">
        <f t="shared" ref="V3:V66" si="7">T3-U3</f>
        <v>-20086.808540662751</v>
      </c>
    </row>
    <row r="4" spans="1:22" ht="14.25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5">
        <f t="shared" si="0"/>
        <v>0</v>
      </c>
      <c r="N4" s="5">
        <f t="shared" si="1"/>
        <v>0</v>
      </c>
      <c r="O4" s="5">
        <f t="shared" si="2"/>
        <v>1</v>
      </c>
      <c r="P4" s="5">
        <f t="shared" si="3"/>
        <v>0</v>
      </c>
      <c r="Q4" s="5">
        <f t="shared" si="4"/>
        <v>0</v>
      </c>
      <c r="R4" s="5">
        <f t="shared" si="5"/>
        <v>0</v>
      </c>
      <c r="S4" s="2">
        <v>101883.86</v>
      </c>
      <c r="T4" s="2">
        <v>678722.06</v>
      </c>
      <c r="U4" s="12">
        <f t="shared" si="6"/>
        <v>688620.23258283921</v>
      </c>
      <c r="V4">
        <f t="shared" si="7"/>
        <v>-9898.17258283915</v>
      </c>
    </row>
    <row r="5" spans="1:22" ht="14.25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5">
        <f t="shared" si="0"/>
        <v>0</v>
      </c>
      <c r="N5" s="5">
        <f t="shared" si="1"/>
        <v>0</v>
      </c>
      <c r="O5" s="5">
        <f t="shared" si="2"/>
        <v>1</v>
      </c>
      <c r="P5" s="5">
        <f t="shared" si="3"/>
        <v>0</v>
      </c>
      <c r="Q5" s="5">
        <f t="shared" si="4"/>
        <v>0</v>
      </c>
      <c r="R5" s="5">
        <f t="shared" si="5"/>
        <v>0</v>
      </c>
      <c r="S5" s="2">
        <v>97910.37</v>
      </c>
      <c r="T5" s="2">
        <v>658920.30000000005</v>
      </c>
      <c r="U5" s="12">
        <f t="shared" si="6"/>
        <v>682126.28418387496</v>
      </c>
      <c r="V5">
        <f t="shared" si="7"/>
        <v>-23205.984183874913</v>
      </c>
    </row>
    <row r="6" spans="1:22" ht="14.25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5">
        <f t="shared" si="0"/>
        <v>0</v>
      </c>
      <c r="N6" s="5">
        <f t="shared" si="1"/>
        <v>0</v>
      </c>
      <c r="O6" s="5">
        <f t="shared" si="2"/>
        <v>1</v>
      </c>
      <c r="P6" s="5">
        <f t="shared" si="3"/>
        <v>0</v>
      </c>
      <c r="Q6" s="5">
        <f t="shared" si="4"/>
        <v>1</v>
      </c>
      <c r="R6" s="5">
        <f t="shared" si="5"/>
        <v>0</v>
      </c>
      <c r="S6" s="2">
        <v>119208.17</v>
      </c>
      <c r="T6" s="2">
        <v>741341.44</v>
      </c>
      <c r="U6" s="12">
        <f t="shared" si="6"/>
        <v>664236.33685999503</v>
      </c>
      <c r="V6">
        <f t="shared" si="7"/>
        <v>77105.103140004911</v>
      </c>
    </row>
    <row r="7" spans="1:22" ht="14.25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5">
        <f t="shared" si="0"/>
        <v>0</v>
      </c>
      <c r="N7" s="5">
        <f t="shared" si="1"/>
        <v>0</v>
      </c>
      <c r="O7" s="5">
        <f t="shared" si="2"/>
        <v>1</v>
      </c>
      <c r="P7" s="5">
        <f t="shared" si="3"/>
        <v>0</v>
      </c>
      <c r="Q7" s="5">
        <f t="shared" si="4"/>
        <v>1</v>
      </c>
      <c r="R7" s="5">
        <f t="shared" si="5"/>
        <v>0</v>
      </c>
      <c r="S7" s="2">
        <v>149602.23000000001</v>
      </c>
      <c r="T7" s="2">
        <v>761835.34</v>
      </c>
      <c r="U7" s="12">
        <f t="shared" si="6"/>
        <v>698979.33791600727</v>
      </c>
      <c r="V7">
        <f t="shared" si="7"/>
        <v>62856.002083992702</v>
      </c>
    </row>
    <row r="8" spans="1:22" ht="14.25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5">
        <f t="shared" si="0"/>
        <v>0</v>
      </c>
      <c r="N8" s="5">
        <f t="shared" si="1"/>
        <v>0</v>
      </c>
      <c r="O8" s="5">
        <f t="shared" si="2"/>
        <v>1</v>
      </c>
      <c r="P8" s="5">
        <f t="shared" si="3"/>
        <v>0</v>
      </c>
      <c r="Q8" s="5">
        <f t="shared" si="4"/>
        <v>1</v>
      </c>
      <c r="R8" s="5">
        <f t="shared" si="5"/>
        <v>0</v>
      </c>
      <c r="S8" s="2">
        <v>131364.62</v>
      </c>
      <c r="T8" s="2">
        <v>806615.54</v>
      </c>
      <c r="U8" s="12">
        <f t="shared" si="6"/>
        <v>659577.0000707279</v>
      </c>
      <c r="V8">
        <f t="shared" si="7"/>
        <v>147038.53992927214</v>
      </c>
    </row>
    <row r="9" spans="1:22" ht="14.25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5">
        <f t="shared" si="0"/>
        <v>0</v>
      </c>
      <c r="N9" s="5">
        <f t="shared" si="1"/>
        <v>0</v>
      </c>
      <c r="O9" s="5">
        <f t="shared" si="2"/>
        <v>1</v>
      </c>
      <c r="P9" s="5">
        <f t="shared" si="3"/>
        <v>0</v>
      </c>
      <c r="Q9" s="5">
        <f t="shared" si="4"/>
        <v>1</v>
      </c>
      <c r="R9" s="5">
        <f t="shared" si="5"/>
        <v>0</v>
      </c>
      <c r="S9" s="2">
        <v>149262.75</v>
      </c>
      <c r="T9" s="2">
        <v>850164.26</v>
      </c>
      <c r="U9" s="12">
        <f t="shared" si="6"/>
        <v>706049.96449224174</v>
      </c>
      <c r="V9">
        <f t="shared" si="7"/>
        <v>144114.29550775827</v>
      </c>
    </row>
    <row r="10" spans="1:22" ht="14.25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5">
        <f t="shared" si="0"/>
        <v>1</v>
      </c>
      <c r="N10" s="5">
        <f t="shared" si="1"/>
        <v>0</v>
      </c>
      <c r="O10" s="5">
        <f t="shared" si="2"/>
        <v>0</v>
      </c>
      <c r="P10" s="5">
        <f t="shared" si="3"/>
        <v>0</v>
      </c>
      <c r="Q10" s="5">
        <f t="shared" si="4"/>
        <v>0</v>
      </c>
      <c r="R10" s="5">
        <f t="shared" si="5"/>
        <v>1</v>
      </c>
      <c r="S10" s="2">
        <v>136207.98000000001</v>
      </c>
      <c r="T10" s="2">
        <v>930581.7</v>
      </c>
      <c r="U10" s="12">
        <f t="shared" si="6"/>
        <v>713868.54175337148</v>
      </c>
      <c r="V10">
        <f t="shared" si="7"/>
        <v>216713.15824662847</v>
      </c>
    </row>
    <row r="11" spans="1:22" ht="14.25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5">
        <f t="shared" si="0"/>
        <v>1</v>
      </c>
      <c r="N11" s="5">
        <f t="shared" si="1"/>
        <v>0</v>
      </c>
      <c r="O11" s="5">
        <f t="shared" si="2"/>
        <v>0</v>
      </c>
      <c r="P11" s="5">
        <f t="shared" si="3"/>
        <v>0</v>
      </c>
      <c r="Q11" s="5">
        <f t="shared" si="4"/>
        <v>0</v>
      </c>
      <c r="R11" s="5">
        <f t="shared" si="5"/>
        <v>1</v>
      </c>
      <c r="S11" s="2">
        <v>106328.09</v>
      </c>
      <c r="T11" s="2">
        <v>779010.94</v>
      </c>
      <c r="U11" s="12">
        <f t="shared" si="6"/>
        <v>706018.0150932438</v>
      </c>
      <c r="V11">
        <f t="shared" si="7"/>
        <v>72992.924906756147</v>
      </c>
    </row>
    <row r="12" spans="1:22" ht="14.25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5">
        <f t="shared" si="0"/>
        <v>1</v>
      </c>
      <c r="N12" s="5">
        <f t="shared" si="1"/>
        <v>0</v>
      </c>
      <c r="O12" s="5">
        <f t="shared" si="2"/>
        <v>0</v>
      </c>
      <c r="P12" s="5">
        <f t="shared" si="3"/>
        <v>0</v>
      </c>
      <c r="Q12" s="5">
        <f t="shared" si="4"/>
        <v>0</v>
      </c>
      <c r="R12" s="5">
        <f t="shared" si="5"/>
        <v>1</v>
      </c>
      <c r="S12" s="2">
        <v>123131.24</v>
      </c>
      <c r="T12" s="2">
        <v>723060.76</v>
      </c>
      <c r="U12" s="12">
        <f t="shared" si="6"/>
        <v>634305.11020982126</v>
      </c>
      <c r="V12">
        <f t="shared" si="7"/>
        <v>88755.649790178752</v>
      </c>
    </row>
    <row r="13" spans="1:22" ht="14.25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5">
        <f t="shared" si="0"/>
        <v>1</v>
      </c>
      <c r="N13" s="5">
        <f t="shared" si="1"/>
        <v>0</v>
      </c>
      <c r="O13" s="5">
        <f t="shared" si="2"/>
        <v>0</v>
      </c>
      <c r="P13" s="5">
        <f t="shared" si="3"/>
        <v>0</v>
      </c>
      <c r="Q13" s="5">
        <f t="shared" si="4"/>
        <v>0</v>
      </c>
      <c r="R13" s="5">
        <f t="shared" si="5"/>
        <v>1</v>
      </c>
      <c r="S13" s="2">
        <v>158891.28</v>
      </c>
      <c r="T13" s="2">
        <v>910791.94</v>
      </c>
      <c r="U13" s="12">
        <f t="shared" si="6"/>
        <v>705692.67360053072</v>
      </c>
      <c r="V13">
        <f t="shared" si="7"/>
        <v>205099.26639946923</v>
      </c>
    </row>
    <row r="14" spans="1:22" ht="14.25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5">
        <f t="shared" si="0"/>
        <v>0</v>
      </c>
      <c r="N14" s="5">
        <f t="shared" si="1"/>
        <v>0</v>
      </c>
      <c r="O14" s="5">
        <f t="shared" si="2"/>
        <v>1</v>
      </c>
      <c r="P14" s="5">
        <f t="shared" si="3"/>
        <v>0</v>
      </c>
      <c r="Q14" s="5">
        <f t="shared" si="4"/>
        <v>0</v>
      </c>
      <c r="R14" s="5">
        <f t="shared" si="5"/>
        <v>0</v>
      </c>
      <c r="S14" s="2">
        <v>107494.53</v>
      </c>
      <c r="T14" s="2">
        <v>922168.6</v>
      </c>
      <c r="U14" s="12">
        <f t="shared" si="6"/>
        <v>713846.08395301481</v>
      </c>
      <c r="V14">
        <f t="shared" si="7"/>
        <v>208322.51604698517</v>
      </c>
    </row>
    <row r="15" spans="1:22" ht="14.25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5">
        <f t="shared" si="0"/>
        <v>0</v>
      </c>
      <c r="N15" s="5">
        <f t="shared" si="1"/>
        <v>0</v>
      </c>
      <c r="O15" s="5">
        <f t="shared" si="2"/>
        <v>1</v>
      </c>
      <c r="P15" s="5">
        <f t="shared" si="3"/>
        <v>0</v>
      </c>
      <c r="Q15" s="5">
        <f t="shared" si="4"/>
        <v>0</v>
      </c>
      <c r="R15" s="5">
        <f t="shared" si="5"/>
        <v>0</v>
      </c>
      <c r="S15" s="2">
        <v>122729.29</v>
      </c>
      <c r="T15" s="2">
        <v>726606.28</v>
      </c>
      <c r="U15" s="12">
        <f t="shared" si="6"/>
        <v>679711.41386081302</v>
      </c>
      <c r="V15">
        <f t="shared" si="7"/>
        <v>46894.866139187012</v>
      </c>
    </row>
    <row r="16" spans="1:22" ht="14.25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5">
        <f t="shared" si="0"/>
        <v>0</v>
      </c>
      <c r="N16" s="5">
        <f t="shared" si="1"/>
        <v>0</v>
      </c>
      <c r="O16" s="5">
        <f t="shared" si="2"/>
        <v>1</v>
      </c>
      <c r="P16" s="5">
        <f t="shared" si="3"/>
        <v>0</v>
      </c>
      <c r="Q16" s="5">
        <f t="shared" si="4"/>
        <v>0</v>
      </c>
      <c r="R16" s="5">
        <f t="shared" si="5"/>
        <v>0</v>
      </c>
      <c r="S16" s="2">
        <v>136816.72</v>
      </c>
      <c r="T16" s="2">
        <v>746501.09</v>
      </c>
      <c r="U16" s="12">
        <f t="shared" si="6"/>
        <v>688594.30017940863</v>
      </c>
      <c r="V16">
        <f t="shared" si="7"/>
        <v>57906.789820591337</v>
      </c>
    </row>
    <row r="17" spans="1:22" ht="14.25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5">
        <f t="shared" si="0"/>
        <v>0</v>
      </c>
      <c r="N17" s="5">
        <f t="shared" si="1"/>
        <v>0</v>
      </c>
      <c r="O17" s="5">
        <f t="shared" si="2"/>
        <v>1</v>
      </c>
      <c r="P17" s="5">
        <f t="shared" si="3"/>
        <v>0</v>
      </c>
      <c r="Q17" s="5">
        <f t="shared" si="4"/>
        <v>0</v>
      </c>
      <c r="R17" s="5">
        <f t="shared" si="5"/>
        <v>0</v>
      </c>
      <c r="S17" s="2">
        <v>114745.03</v>
      </c>
      <c r="T17" s="2">
        <v>834017.02</v>
      </c>
      <c r="U17" s="12">
        <f t="shared" si="6"/>
        <v>721213.61959924677</v>
      </c>
      <c r="V17">
        <f t="shared" si="7"/>
        <v>112803.40040075325</v>
      </c>
    </row>
    <row r="18" spans="1:22" ht="14.25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5">
        <f t="shared" si="0"/>
        <v>0</v>
      </c>
      <c r="N18" s="5">
        <f t="shared" si="1"/>
        <v>1</v>
      </c>
      <c r="O18" s="5">
        <f t="shared" si="2"/>
        <v>0</v>
      </c>
      <c r="P18" s="5">
        <f t="shared" si="3"/>
        <v>0</v>
      </c>
      <c r="Q18" s="5">
        <f t="shared" si="4"/>
        <v>0</v>
      </c>
      <c r="R18" s="5">
        <f t="shared" si="5"/>
        <v>0</v>
      </c>
      <c r="S18" s="2">
        <v>107490.58</v>
      </c>
      <c r="T18" s="2">
        <v>666152.52</v>
      </c>
      <c r="U18" s="12">
        <f t="shared" si="6"/>
        <v>665065.96190373437</v>
      </c>
      <c r="V18">
        <f t="shared" si="7"/>
        <v>1086.5580962656531</v>
      </c>
    </row>
    <row r="19" spans="1:22" ht="14.25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5">
        <f t="shared" si="0"/>
        <v>0</v>
      </c>
      <c r="N19" s="5">
        <f t="shared" si="1"/>
        <v>1</v>
      </c>
      <c r="O19" s="5">
        <f t="shared" si="2"/>
        <v>0</v>
      </c>
      <c r="P19" s="5">
        <f t="shared" si="3"/>
        <v>0</v>
      </c>
      <c r="Q19" s="5">
        <f t="shared" si="4"/>
        <v>0</v>
      </c>
      <c r="R19" s="5">
        <f t="shared" si="5"/>
        <v>0</v>
      </c>
      <c r="S19" s="2">
        <v>83680.75</v>
      </c>
      <c r="T19" s="2">
        <v>573155.18999999994</v>
      </c>
      <c r="U19" s="12">
        <f t="shared" si="6"/>
        <v>686917.14741145691</v>
      </c>
      <c r="V19">
        <f t="shared" si="7"/>
        <v>-113761.95741145697</v>
      </c>
    </row>
    <row r="20" spans="1:22" ht="14.25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5">
        <f t="shared" si="0"/>
        <v>0</v>
      </c>
      <c r="N20" s="5">
        <f t="shared" si="1"/>
        <v>1</v>
      </c>
      <c r="O20" s="5">
        <f t="shared" si="2"/>
        <v>0</v>
      </c>
      <c r="P20" s="5">
        <f t="shared" si="3"/>
        <v>0</v>
      </c>
      <c r="Q20" s="5">
        <f t="shared" si="4"/>
        <v>0</v>
      </c>
      <c r="R20" s="5">
        <f t="shared" si="5"/>
        <v>0</v>
      </c>
      <c r="S20" s="2">
        <v>140641.01999999999</v>
      </c>
      <c r="T20" s="2">
        <v>666573.19999999995</v>
      </c>
      <c r="U20" s="12">
        <f t="shared" si="6"/>
        <v>728682.76619879028</v>
      </c>
      <c r="V20">
        <f t="shared" si="7"/>
        <v>-62109.56619879033</v>
      </c>
    </row>
    <row r="21" spans="1:22" ht="14.25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5">
        <f t="shared" si="0"/>
        <v>0</v>
      </c>
      <c r="N21" s="5">
        <f t="shared" si="1"/>
        <v>1</v>
      </c>
      <c r="O21" s="5">
        <f t="shared" si="2"/>
        <v>0</v>
      </c>
      <c r="P21" s="5">
        <f t="shared" si="3"/>
        <v>0</v>
      </c>
      <c r="Q21" s="5">
        <f t="shared" si="4"/>
        <v>0</v>
      </c>
      <c r="R21" s="5">
        <f t="shared" si="5"/>
        <v>0</v>
      </c>
      <c r="S21" s="2">
        <v>99521.35</v>
      </c>
      <c r="T21" s="2">
        <v>591619.94999999995</v>
      </c>
      <c r="U21" s="12">
        <f t="shared" si="6"/>
        <v>649467.76954643324</v>
      </c>
      <c r="V21">
        <f t="shared" si="7"/>
        <v>-57847.819546433282</v>
      </c>
    </row>
    <row r="22" spans="1:22" ht="14.25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5">
        <f t="shared" si="0"/>
        <v>1</v>
      </c>
      <c r="N22" s="5">
        <f t="shared" si="1"/>
        <v>0</v>
      </c>
      <c r="O22" s="5">
        <f t="shared" si="2"/>
        <v>0</v>
      </c>
      <c r="P22" s="5">
        <f t="shared" si="3"/>
        <v>0</v>
      </c>
      <c r="Q22" s="5">
        <f t="shared" si="4"/>
        <v>0</v>
      </c>
      <c r="R22" s="5">
        <f t="shared" si="5"/>
        <v>0</v>
      </c>
      <c r="S22" s="2">
        <v>61179.15</v>
      </c>
      <c r="T22" s="2">
        <v>415721.82</v>
      </c>
      <c r="U22" s="12">
        <f t="shared" si="6"/>
        <v>625981.04176123103</v>
      </c>
      <c r="V22">
        <f t="shared" si="7"/>
        <v>-210259.22176123102</v>
      </c>
    </row>
    <row r="23" spans="1:22" ht="14.25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5">
        <f t="shared" si="0"/>
        <v>1</v>
      </c>
      <c r="N23" s="5">
        <f t="shared" si="1"/>
        <v>0</v>
      </c>
      <c r="O23" s="5">
        <f t="shared" si="2"/>
        <v>0</v>
      </c>
      <c r="P23" s="5">
        <f t="shared" si="3"/>
        <v>0</v>
      </c>
      <c r="Q23" s="5">
        <f t="shared" si="4"/>
        <v>0</v>
      </c>
      <c r="R23" s="5">
        <f t="shared" si="5"/>
        <v>0</v>
      </c>
      <c r="S23" s="2">
        <v>79212.259999999995</v>
      </c>
      <c r="T23" s="2">
        <v>491905.13</v>
      </c>
      <c r="U23" s="12">
        <f t="shared" si="6"/>
        <v>632681.51717705966</v>
      </c>
      <c r="V23">
        <f t="shared" si="7"/>
        <v>-140776.38717705966</v>
      </c>
    </row>
    <row r="24" spans="1:22" ht="14.25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5">
        <f t="shared" si="0"/>
        <v>1</v>
      </c>
      <c r="N24" s="5">
        <f t="shared" si="1"/>
        <v>0</v>
      </c>
      <c r="O24" s="5">
        <f t="shared" si="2"/>
        <v>0</v>
      </c>
      <c r="P24" s="5">
        <f t="shared" si="3"/>
        <v>0</v>
      </c>
      <c r="Q24" s="5">
        <f t="shared" si="4"/>
        <v>0</v>
      </c>
      <c r="R24" s="5">
        <f t="shared" si="5"/>
        <v>0</v>
      </c>
      <c r="S24" s="2">
        <v>115201.76</v>
      </c>
      <c r="T24" s="2">
        <v>555929.4</v>
      </c>
      <c r="U24" s="12">
        <f t="shared" si="6"/>
        <v>651216.59659608908</v>
      </c>
      <c r="V24">
        <f t="shared" si="7"/>
        <v>-95287.196596089052</v>
      </c>
    </row>
    <row r="25" spans="1:22" ht="14.25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5">
        <f t="shared" si="0"/>
        <v>1</v>
      </c>
      <c r="N25" s="5">
        <f t="shared" si="1"/>
        <v>0</v>
      </c>
      <c r="O25" s="5">
        <f t="shared" si="2"/>
        <v>0</v>
      </c>
      <c r="P25" s="5">
        <f t="shared" si="3"/>
        <v>0</v>
      </c>
      <c r="Q25" s="5">
        <f t="shared" si="4"/>
        <v>0</v>
      </c>
      <c r="R25" s="5">
        <f t="shared" si="5"/>
        <v>0</v>
      </c>
      <c r="S25" s="2">
        <v>77825.460000000006</v>
      </c>
      <c r="T25" s="2">
        <v>565810.99</v>
      </c>
      <c r="U25" s="12">
        <f t="shared" si="6"/>
        <v>693151.36923063674</v>
      </c>
      <c r="V25">
        <f t="shared" si="7"/>
        <v>-127340.37923063675</v>
      </c>
    </row>
    <row r="26" spans="1:22" ht="14.25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5">
        <f t="shared" si="0"/>
        <v>0</v>
      </c>
      <c r="N26" s="5">
        <f t="shared" si="1"/>
        <v>0</v>
      </c>
      <c r="O26" s="5">
        <f t="shared" si="2"/>
        <v>0</v>
      </c>
      <c r="P26" s="5">
        <f t="shared" si="3"/>
        <v>1</v>
      </c>
      <c r="Q26" s="5">
        <f t="shared" si="4"/>
        <v>0</v>
      </c>
      <c r="R26" s="5">
        <f t="shared" si="5"/>
        <v>0</v>
      </c>
      <c r="S26" s="2">
        <v>148756.24</v>
      </c>
      <c r="T26" s="2">
        <v>811771.14</v>
      </c>
      <c r="U26" s="12">
        <f t="shared" si="6"/>
        <v>683906.08604873961</v>
      </c>
      <c r="V26">
        <f t="shared" si="7"/>
        <v>127865.0539512604</v>
      </c>
    </row>
    <row r="27" spans="1:22" ht="14.25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5">
        <f t="shared" si="0"/>
        <v>0</v>
      </c>
      <c r="N27" s="5">
        <f t="shared" si="1"/>
        <v>0</v>
      </c>
      <c r="O27" s="5">
        <f t="shared" si="2"/>
        <v>0</v>
      </c>
      <c r="P27" s="5">
        <f t="shared" si="3"/>
        <v>1</v>
      </c>
      <c r="Q27" s="5">
        <f t="shared" si="4"/>
        <v>0</v>
      </c>
      <c r="R27" s="5">
        <f t="shared" si="5"/>
        <v>0</v>
      </c>
      <c r="S27" s="2">
        <v>111572.29</v>
      </c>
      <c r="T27" s="2">
        <v>800451.94</v>
      </c>
      <c r="U27" s="12">
        <f t="shared" si="6"/>
        <v>926956.32956597861</v>
      </c>
      <c r="V27">
        <f t="shared" si="7"/>
        <v>-126504.38956597866</v>
      </c>
    </row>
    <row r="28" spans="1:22" ht="14.25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5">
        <f t="shared" si="0"/>
        <v>0</v>
      </c>
      <c r="N28" s="5">
        <f t="shared" si="1"/>
        <v>0</v>
      </c>
      <c r="O28" s="5">
        <f t="shared" si="2"/>
        <v>0</v>
      </c>
      <c r="P28" s="5">
        <f t="shared" si="3"/>
        <v>1</v>
      </c>
      <c r="Q28" s="5">
        <f t="shared" si="4"/>
        <v>0</v>
      </c>
      <c r="R28" s="5">
        <f t="shared" si="5"/>
        <v>0</v>
      </c>
      <c r="S28" s="2">
        <v>112577.14</v>
      </c>
      <c r="T28" s="2">
        <v>783672.82</v>
      </c>
      <c r="U28" s="12">
        <f t="shared" si="6"/>
        <v>678765.85571938369</v>
      </c>
      <c r="V28">
        <f t="shared" si="7"/>
        <v>104906.96428061626</v>
      </c>
    </row>
    <row r="29" spans="1:22" ht="14.25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5">
        <f t="shared" si="0"/>
        <v>0</v>
      </c>
      <c r="N29" s="5">
        <f t="shared" si="1"/>
        <v>0</v>
      </c>
      <c r="O29" s="5">
        <f t="shared" si="2"/>
        <v>0</v>
      </c>
      <c r="P29" s="5">
        <f t="shared" si="3"/>
        <v>1</v>
      </c>
      <c r="Q29" s="5">
        <f t="shared" si="4"/>
        <v>0</v>
      </c>
      <c r="R29" s="5">
        <f t="shared" si="5"/>
        <v>0</v>
      </c>
      <c r="S29" s="2">
        <v>106111.86</v>
      </c>
      <c r="T29" s="2">
        <v>701641.97</v>
      </c>
      <c r="U29" s="12">
        <f t="shared" si="6"/>
        <v>673351.78853190609</v>
      </c>
      <c r="V29">
        <f t="shared" si="7"/>
        <v>28290.181468093884</v>
      </c>
    </row>
    <row r="30" spans="1:22" ht="14.25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5">
        <f t="shared" si="0"/>
        <v>0</v>
      </c>
      <c r="N30" s="5">
        <f t="shared" si="1"/>
        <v>0</v>
      </c>
      <c r="O30" s="5">
        <f t="shared" si="2"/>
        <v>1</v>
      </c>
      <c r="P30" s="5">
        <f t="shared" si="3"/>
        <v>0</v>
      </c>
      <c r="Q30" s="5">
        <f t="shared" si="4"/>
        <v>0</v>
      </c>
      <c r="R30" s="5">
        <f t="shared" si="5"/>
        <v>0</v>
      </c>
      <c r="S30" s="2">
        <v>72774.44</v>
      </c>
      <c r="T30" s="2">
        <v>511844.41</v>
      </c>
      <c r="U30" s="12">
        <f t="shared" si="6"/>
        <v>707007.81086405483</v>
      </c>
      <c r="V30">
        <f t="shared" si="7"/>
        <v>-195163.40086405486</v>
      </c>
    </row>
    <row r="31" spans="1:22" ht="14.25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5">
        <f t="shared" si="0"/>
        <v>0</v>
      </c>
      <c r="N31" s="5">
        <f t="shared" si="1"/>
        <v>0</v>
      </c>
      <c r="O31" s="5">
        <f t="shared" si="2"/>
        <v>1</v>
      </c>
      <c r="P31" s="5">
        <f t="shared" si="3"/>
        <v>0</v>
      </c>
      <c r="Q31" s="5">
        <f t="shared" si="4"/>
        <v>0</v>
      </c>
      <c r="R31" s="5">
        <f t="shared" si="5"/>
        <v>0</v>
      </c>
      <c r="S31" s="2">
        <v>63773.27</v>
      </c>
      <c r="T31" s="2">
        <v>537383.79</v>
      </c>
      <c r="U31" s="12">
        <f t="shared" si="6"/>
        <v>695516.42984743603</v>
      </c>
      <c r="V31">
        <f t="shared" si="7"/>
        <v>-158132.63984743599</v>
      </c>
    </row>
    <row r="32" spans="1:22" ht="14.25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5">
        <f t="shared" si="0"/>
        <v>0</v>
      </c>
      <c r="N32" s="5">
        <f t="shared" si="1"/>
        <v>0</v>
      </c>
      <c r="O32" s="5">
        <f t="shared" si="2"/>
        <v>1</v>
      </c>
      <c r="P32" s="5">
        <f t="shared" si="3"/>
        <v>0</v>
      </c>
      <c r="Q32" s="5">
        <f t="shared" si="4"/>
        <v>0</v>
      </c>
      <c r="R32" s="5">
        <f t="shared" si="5"/>
        <v>0</v>
      </c>
      <c r="S32" s="2">
        <v>70982.05</v>
      </c>
      <c r="T32" s="2">
        <v>500173.02</v>
      </c>
      <c r="U32" s="12">
        <f t="shared" si="6"/>
        <v>656942.72127550282</v>
      </c>
      <c r="V32">
        <f t="shared" si="7"/>
        <v>-156769.7012755028</v>
      </c>
    </row>
    <row r="33" spans="1:22" ht="14.25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5">
        <f t="shared" si="0"/>
        <v>0</v>
      </c>
      <c r="N33" s="5">
        <f t="shared" si="1"/>
        <v>0</v>
      </c>
      <c r="O33" s="5">
        <f t="shared" si="2"/>
        <v>1</v>
      </c>
      <c r="P33" s="5">
        <f t="shared" si="3"/>
        <v>0</v>
      </c>
      <c r="Q33" s="5">
        <f t="shared" si="4"/>
        <v>0</v>
      </c>
      <c r="R33" s="5">
        <f t="shared" si="5"/>
        <v>0</v>
      </c>
      <c r="S33" s="2">
        <v>81824.31</v>
      </c>
      <c r="T33" s="2">
        <v>427917.38</v>
      </c>
      <c r="U33" s="12">
        <f t="shared" si="6"/>
        <v>709583.52988551988</v>
      </c>
      <c r="V33">
        <f t="shared" si="7"/>
        <v>-281666.14988551987</v>
      </c>
    </row>
    <row r="34" spans="1:22" ht="14.25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5">
        <f t="shared" si="0"/>
        <v>1</v>
      </c>
      <c r="N34" s="5">
        <f t="shared" si="1"/>
        <v>0</v>
      </c>
      <c r="O34" s="5">
        <f t="shared" si="2"/>
        <v>0</v>
      </c>
      <c r="P34" s="5">
        <f t="shared" si="3"/>
        <v>0</v>
      </c>
      <c r="Q34" s="5">
        <f t="shared" si="4"/>
        <v>0</v>
      </c>
      <c r="R34" s="5">
        <f t="shared" si="5"/>
        <v>0</v>
      </c>
      <c r="S34" s="2">
        <v>81342.58</v>
      </c>
      <c r="T34" s="2">
        <v>641865.03</v>
      </c>
      <c r="U34" s="12">
        <f t="shared" si="6"/>
        <v>677340.65404750814</v>
      </c>
      <c r="V34">
        <f t="shared" si="7"/>
        <v>-35475.624047508114</v>
      </c>
    </row>
    <row r="35" spans="1:22" ht="14.25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4">
        <v>3.9</v>
      </c>
      <c r="M35" s="5">
        <f t="shared" si="0"/>
        <v>1</v>
      </c>
      <c r="N35" s="5">
        <f t="shared" si="1"/>
        <v>0</v>
      </c>
      <c r="O35" s="5">
        <f t="shared" si="2"/>
        <v>0</v>
      </c>
      <c r="P35" s="5">
        <f t="shared" si="3"/>
        <v>0</v>
      </c>
      <c r="Q35" s="5">
        <f t="shared" si="4"/>
        <v>0</v>
      </c>
      <c r="R35" s="5">
        <f t="shared" si="5"/>
        <v>0</v>
      </c>
      <c r="S35" s="2">
        <v>164974.41</v>
      </c>
      <c r="T35" s="2">
        <v>799477.76000000001</v>
      </c>
      <c r="U35" s="12">
        <f t="shared" si="6"/>
        <v>717964.01826085499</v>
      </c>
      <c r="V35">
        <f t="shared" si="7"/>
        <v>81513.741739145014</v>
      </c>
    </row>
    <row r="36" spans="1:22" ht="14.25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5">
        <f t="shared" si="0"/>
        <v>1</v>
      </c>
      <c r="N36" s="5">
        <f t="shared" si="1"/>
        <v>0</v>
      </c>
      <c r="O36" s="5">
        <f t="shared" si="2"/>
        <v>0</v>
      </c>
      <c r="P36" s="5">
        <f t="shared" si="3"/>
        <v>0</v>
      </c>
      <c r="Q36" s="5">
        <f t="shared" si="4"/>
        <v>0</v>
      </c>
      <c r="R36" s="5">
        <f t="shared" si="5"/>
        <v>0</v>
      </c>
      <c r="S36" s="2">
        <v>161499.04</v>
      </c>
      <c r="T36" s="2">
        <v>798952.17</v>
      </c>
      <c r="U36" s="12">
        <f t="shared" si="6"/>
        <v>719324.13468490471</v>
      </c>
      <c r="V36">
        <f t="shared" si="7"/>
        <v>79628.035315095331</v>
      </c>
    </row>
    <row r="37" spans="1:22" ht="14.25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5">
        <f t="shared" si="0"/>
        <v>1</v>
      </c>
      <c r="N37" s="5">
        <f t="shared" si="1"/>
        <v>0</v>
      </c>
      <c r="O37" s="5">
        <f t="shared" si="2"/>
        <v>0</v>
      </c>
      <c r="P37" s="5">
        <f t="shared" si="3"/>
        <v>0</v>
      </c>
      <c r="Q37" s="5">
        <f t="shared" si="4"/>
        <v>0</v>
      </c>
      <c r="R37" s="5">
        <f t="shared" si="5"/>
        <v>0</v>
      </c>
      <c r="S37" s="2">
        <v>149242.26999999999</v>
      </c>
      <c r="T37" s="2">
        <v>800979.78</v>
      </c>
      <c r="U37" s="12">
        <f t="shared" si="6"/>
        <v>672861.67881902948</v>
      </c>
      <c r="V37">
        <f t="shared" si="7"/>
        <v>128118.10118097055</v>
      </c>
    </row>
    <row r="38" spans="1:22" ht="14.25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5">
        <f t="shared" si="0"/>
        <v>1</v>
      </c>
      <c r="N38" s="5">
        <f t="shared" si="1"/>
        <v>0</v>
      </c>
      <c r="O38" s="5">
        <f t="shared" si="2"/>
        <v>0</v>
      </c>
      <c r="P38" s="5">
        <f t="shared" si="3"/>
        <v>1</v>
      </c>
      <c r="Q38" s="5">
        <f t="shared" si="4"/>
        <v>0</v>
      </c>
      <c r="R38" s="5">
        <f t="shared" si="5"/>
        <v>0</v>
      </c>
      <c r="S38" s="2">
        <v>115860.06</v>
      </c>
      <c r="T38" s="2">
        <v>820593.93</v>
      </c>
      <c r="U38" s="12">
        <f t="shared" si="6"/>
        <v>721137.68681011652</v>
      </c>
      <c r="V38">
        <f t="shared" si="7"/>
        <v>99456.243189883535</v>
      </c>
    </row>
    <row r="39" spans="1:22" ht="14.25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5">
        <f t="shared" si="0"/>
        <v>1</v>
      </c>
      <c r="N39" s="5">
        <f t="shared" si="1"/>
        <v>0</v>
      </c>
      <c r="O39" s="5">
        <f t="shared" si="2"/>
        <v>0</v>
      </c>
      <c r="P39" s="5">
        <f t="shared" si="3"/>
        <v>1</v>
      </c>
      <c r="Q39" s="5">
        <f t="shared" si="4"/>
        <v>0</v>
      </c>
      <c r="R39" s="5">
        <f t="shared" si="5"/>
        <v>0</v>
      </c>
      <c r="S39" s="2">
        <v>93247.9</v>
      </c>
      <c r="T39" s="2">
        <v>718330.53</v>
      </c>
      <c r="U39" s="12">
        <f t="shared" si="6"/>
        <v>691424.61862246355</v>
      </c>
      <c r="V39">
        <f t="shared" si="7"/>
        <v>26905.911377536482</v>
      </c>
    </row>
    <row r="40" spans="1:22" ht="14.25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5">
        <f t="shared" si="0"/>
        <v>1</v>
      </c>
      <c r="N40" s="5">
        <f t="shared" si="1"/>
        <v>0</v>
      </c>
      <c r="O40" s="5">
        <f t="shared" si="2"/>
        <v>0</v>
      </c>
      <c r="P40" s="5">
        <f t="shared" si="3"/>
        <v>1</v>
      </c>
      <c r="Q40" s="5">
        <f t="shared" si="4"/>
        <v>0</v>
      </c>
      <c r="R40" s="5">
        <f t="shared" si="5"/>
        <v>0</v>
      </c>
      <c r="S40" s="2">
        <v>115654.66</v>
      </c>
      <c r="T40" s="2">
        <v>736633.4</v>
      </c>
      <c r="U40" s="12">
        <f t="shared" si="6"/>
        <v>759509.57179129787</v>
      </c>
      <c r="V40">
        <f t="shared" si="7"/>
        <v>-22876.171791297849</v>
      </c>
    </row>
    <row r="41" spans="1:22" ht="14.25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5">
        <f t="shared" si="0"/>
        <v>1</v>
      </c>
      <c r="N41" s="5">
        <f t="shared" si="1"/>
        <v>0</v>
      </c>
      <c r="O41" s="5">
        <f t="shared" si="2"/>
        <v>0</v>
      </c>
      <c r="P41" s="5">
        <f t="shared" si="3"/>
        <v>1</v>
      </c>
      <c r="Q41" s="5">
        <f t="shared" si="4"/>
        <v>0</v>
      </c>
      <c r="R41" s="5">
        <f t="shared" si="5"/>
        <v>0</v>
      </c>
      <c r="S41" s="2">
        <v>167320.51999999999</v>
      </c>
      <c r="T41" s="2">
        <v>828623.85</v>
      </c>
      <c r="U41" s="12">
        <f t="shared" si="6"/>
        <v>699405.14628541004</v>
      </c>
      <c r="V41">
        <f t="shared" si="7"/>
        <v>129218.70371458994</v>
      </c>
    </row>
    <row r="42" spans="1:22" ht="14.25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5">
        <f t="shared" si="0"/>
        <v>0</v>
      </c>
      <c r="N42" s="5">
        <f t="shared" si="1"/>
        <v>0</v>
      </c>
      <c r="O42" s="5">
        <f t="shared" si="2"/>
        <v>1</v>
      </c>
      <c r="P42" s="5">
        <f t="shared" si="3"/>
        <v>1</v>
      </c>
      <c r="Q42" s="5">
        <f t="shared" si="4"/>
        <v>0</v>
      </c>
      <c r="R42" s="5">
        <f t="shared" si="5"/>
        <v>0</v>
      </c>
      <c r="S42" s="2">
        <v>92291.56</v>
      </c>
      <c r="T42" s="2">
        <v>592195.85</v>
      </c>
      <c r="U42" s="12">
        <f t="shared" si="6"/>
        <v>647393.62219066836</v>
      </c>
      <c r="V42">
        <f t="shared" si="7"/>
        <v>-55197.772190668387</v>
      </c>
    </row>
    <row r="43" spans="1:22" ht="14.25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5">
        <f t="shared" si="0"/>
        <v>0</v>
      </c>
      <c r="N43" s="5">
        <f t="shared" si="1"/>
        <v>0</v>
      </c>
      <c r="O43" s="5">
        <f t="shared" si="2"/>
        <v>1</v>
      </c>
      <c r="P43" s="5">
        <f t="shared" si="3"/>
        <v>1</v>
      </c>
      <c r="Q43" s="5">
        <f t="shared" si="4"/>
        <v>0</v>
      </c>
      <c r="R43" s="5">
        <f t="shared" si="5"/>
        <v>0</v>
      </c>
      <c r="S43" s="2">
        <v>60681.32</v>
      </c>
      <c r="T43" s="2">
        <v>532644.46</v>
      </c>
      <c r="U43" s="12">
        <f t="shared" si="6"/>
        <v>659387.2316577147</v>
      </c>
      <c r="V43">
        <f t="shared" si="7"/>
        <v>-126742.77165771474</v>
      </c>
    </row>
    <row r="44" spans="1:22" ht="14.25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5">
        <f t="shared" si="0"/>
        <v>0</v>
      </c>
      <c r="N44" s="5">
        <f t="shared" si="1"/>
        <v>0</v>
      </c>
      <c r="O44" s="5">
        <f t="shared" si="2"/>
        <v>1</v>
      </c>
      <c r="P44" s="5">
        <f t="shared" si="3"/>
        <v>1</v>
      </c>
      <c r="Q44" s="5">
        <f t="shared" si="4"/>
        <v>0</v>
      </c>
      <c r="R44" s="5">
        <f t="shared" si="5"/>
        <v>0</v>
      </c>
      <c r="S44" s="2">
        <v>88919.74</v>
      </c>
      <c r="T44" s="2">
        <v>657429.18000000005</v>
      </c>
      <c r="U44" s="12">
        <f t="shared" si="6"/>
        <v>705899.58197626891</v>
      </c>
      <c r="V44">
        <f t="shared" si="7"/>
        <v>-48470.401976268855</v>
      </c>
    </row>
    <row r="45" spans="1:22" ht="14.25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5">
        <f t="shared" si="0"/>
        <v>0</v>
      </c>
      <c r="N45" s="5">
        <f t="shared" si="1"/>
        <v>0</v>
      </c>
      <c r="O45" s="5">
        <f t="shared" si="2"/>
        <v>1</v>
      </c>
      <c r="P45" s="5">
        <f t="shared" si="3"/>
        <v>1</v>
      </c>
      <c r="Q45" s="5">
        <f t="shared" si="4"/>
        <v>0</v>
      </c>
      <c r="R45" s="5">
        <f t="shared" si="5"/>
        <v>0</v>
      </c>
      <c r="S45" s="2">
        <v>106958.74</v>
      </c>
      <c r="T45" s="2">
        <v>605178</v>
      </c>
      <c r="U45" s="12">
        <f t="shared" si="6"/>
        <v>699129.6144989595</v>
      </c>
      <c r="V45">
        <f t="shared" si="7"/>
        <v>-93951.614498959505</v>
      </c>
    </row>
    <row r="46" spans="1:22" ht="14.25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5">
        <f t="shared" si="0"/>
        <v>0</v>
      </c>
      <c r="N46" s="5">
        <f t="shared" si="1"/>
        <v>0</v>
      </c>
      <c r="O46" s="5">
        <f t="shared" si="2"/>
        <v>0</v>
      </c>
      <c r="P46" s="5">
        <f t="shared" si="3"/>
        <v>0</v>
      </c>
      <c r="Q46" s="5">
        <f t="shared" si="4"/>
        <v>0</v>
      </c>
      <c r="R46" s="5">
        <f t="shared" si="5"/>
        <v>0</v>
      </c>
      <c r="S46" s="2">
        <v>104276.46</v>
      </c>
      <c r="T46" s="2">
        <v>595467.6</v>
      </c>
      <c r="U46" s="12">
        <f t="shared" si="6"/>
        <v>855854.06498621462</v>
      </c>
      <c r="V46">
        <f t="shared" si="7"/>
        <v>-260386.46498621465</v>
      </c>
    </row>
    <row r="47" spans="1:22" ht="14.25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5">
        <f t="shared" si="0"/>
        <v>0</v>
      </c>
      <c r="N47" s="5">
        <f t="shared" si="1"/>
        <v>0</v>
      </c>
      <c r="O47" s="5">
        <f t="shared" si="2"/>
        <v>0</v>
      </c>
      <c r="P47" s="5">
        <f t="shared" si="3"/>
        <v>0</v>
      </c>
      <c r="Q47" s="5">
        <f t="shared" si="4"/>
        <v>0</v>
      </c>
      <c r="R47" s="5">
        <f t="shared" si="5"/>
        <v>0</v>
      </c>
      <c r="S47" s="2">
        <v>112685.12</v>
      </c>
      <c r="T47" s="2">
        <v>599603.4</v>
      </c>
      <c r="U47" s="12">
        <f t="shared" si="6"/>
        <v>696477.19997061626</v>
      </c>
      <c r="V47">
        <f t="shared" si="7"/>
        <v>-96873.799970616237</v>
      </c>
    </row>
    <row r="48" spans="1:22" ht="14.25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5">
        <f t="shared" si="0"/>
        <v>0</v>
      </c>
      <c r="N48" s="5">
        <f t="shared" si="1"/>
        <v>0</v>
      </c>
      <c r="O48" s="5">
        <f t="shared" si="2"/>
        <v>0</v>
      </c>
      <c r="P48" s="5">
        <f t="shared" si="3"/>
        <v>0</v>
      </c>
      <c r="Q48" s="5">
        <f t="shared" si="4"/>
        <v>0</v>
      </c>
      <c r="R48" s="5">
        <f t="shared" si="5"/>
        <v>0</v>
      </c>
      <c r="S48" s="2">
        <v>100044.2</v>
      </c>
      <c r="T48" s="2">
        <v>614800.09</v>
      </c>
      <c r="U48" s="12">
        <f t="shared" si="6"/>
        <v>667691.89317694015</v>
      </c>
      <c r="V48">
        <f t="shared" si="7"/>
        <v>-52891.803176940186</v>
      </c>
    </row>
    <row r="49" spans="1:22" ht="14.25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5">
        <f t="shared" si="0"/>
        <v>0</v>
      </c>
      <c r="N49" s="5">
        <f t="shared" si="1"/>
        <v>0</v>
      </c>
      <c r="O49" s="5">
        <f t="shared" si="2"/>
        <v>0</v>
      </c>
      <c r="P49" s="5">
        <f t="shared" si="3"/>
        <v>0</v>
      </c>
      <c r="Q49" s="5">
        <f t="shared" si="4"/>
        <v>0</v>
      </c>
      <c r="R49" s="5">
        <f t="shared" si="5"/>
        <v>0</v>
      </c>
      <c r="S49" s="2">
        <v>81011.520000000004</v>
      </c>
      <c r="T49" s="2">
        <v>585365.73</v>
      </c>
      <c r="U49" s="12">
        <f t="shared" si="6"/>
        <v>650848.94545496826</v>
      </c>
      <c r="V49">
        <f t="shared" si="7"/>
        <v>-65483.215454968275</v>
      </c>
    </row>
    <row r="50" spans="1:22" ht="14.25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5">
        <f t="shared" si="0"/>
        <v>1</v>
      </c>
      <c r="N50" s="5">
        <f t="shared" si="1"/>
        <v>0</v>
      </c>
      <c r="O50" s="5">
        <f t="shared" si="2"/>
        <v>0</v>
      </c>
      <c r="P50" s="5">
        <f t="shared" si="3"/>
        <v>1</v>
      </c>
      <c r="Q50" s="5">
        <f t="shared" si="4"/>
        <v>0</v>
      </c>
      <c r="R50" s="5">
        <f t="shared" si="5"/>
        <v>0</v>
      </c>
      <c r="S50" s="2">
        <v>109978.35</v>
      </c>
      <c r="T50" s="2">
        <v>622811.74</v>
      </c>
      <c r="U50" s="12">
        <f t="shared" si="6"/>
        <v>660446.92203548457</v>
      </c>
      <c r="V50">
        <f t="shared" si="7"/>
        <v>-37635.182035484584</v>
      </c>
    </row>
    <row r="51" spans="1:22" ht="14.25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5">
        <f t="shared" si="0"/>
        <v>1</v>
      </c>
      <c r="N51" s="5">
        <f t="shared" si="1"/>
        <v>0</v>
      </c>
      <c r="O51" s="5">
        <f t="shared" si="2"/>
        <v>0</v>
      </c>
      <c r="P51" s="5">
        <f t="shared" si="3"/>
        <v>1</v>
      </c>
      <c r="Q51" s="5">
        <f t="shared" si="4"/>
        <v>0</v>
      </c>
      <c r="R51" s="5">
        <f t="shared" si="5"/>
        <v>0</v>
      </c>
      <c r="S51" s="2">
        <v>60592.26</v>
      </c>
      <c r="T51" s="2">
        <v>603297.56999999995</v>
      </c>
      <c r="U51" s="12">
        <f t="shared" si="6"/>
        <v>666985.6165423292</v>
      </c>
      <c r="V51">
        <f t="shared" si="7"/>
        <v>-63688.046542329248</v>
      </c>
    </row>
    <row r="52" spans="1:22" ht="14.25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5">
        <f t="shared" si="0"/>
        <v>1</v>
      </c>
      <c r="N52" s="5">
        <f t="shared" si="1"/>
        <v>0</v>
      </c>
      <c r="O52" s="5">
        <f t="shared" si="2"/>
        <v>0</v>
      </c>
      <c r="P52" s="5">
        <f t="shared" si="3"/>
        <v>1</v>
      </c>
      <c r="Q52" s="5">
        <f t="shared" si="4"/>
        <v>0</v>
      </c>
      <c r="R52" s="5">
        <f t="shared" si="5"/>
        <v>0</v>
      </c>
      <c r="S52" s="2">
        <v>118020.12</v>
      </c>
      <c r="T52" s="2">
        <v>625672.86</v>
      </c>
      <c r="U52" s="12">
        <f t="shared" si="6"/>
        <v>663971.94922730629</v>
      </c>
      <c r="V52">
        <f t="shared" si="7"/>
        <v>-38299.089227306307</v>
      </c>
    </row>
    <row r="53" spans="1:22" ht="14.25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5">
        <f t="shared" si="0"/>
        <v>1</v>
      </c>
      <c r="N53" s="5">
        <f t="shared" si="1"/>
        <v>0</v>
      </c>
      <c r="O53" s="5">
        <f t="shared" si="2"/>
        <v>0</v>
      </c>
      <c r="P53" s="5">
        <f t="shared" si="3"/>
        <v>1</v>
      </c>
      <c r="Q53" s="5">
        <f t="shared" si="4"/>
        <v>0</v>
      </c>
      <c r="R53" s="5">
        <f t="shared" si="5"/>
        <v>0</v>
      </c>
      <c r="S53" s="2">
        <v>133948.39000000001</v>
      </c>
      <c r="T53" s="2">
        <v>773815.14</v>
      </c>
      <c r="U53" s="12">
        <f t="shared" si="6"/>
        <v>700041.38000683335</v>
      </c>
      <c r="V53">
        <f t="shared" si="7"/>
        <v>73773.759993166663</v>
      </c>
    </row>
    <row r="54" spans="1:22" ht="14.25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5">
        <f t="shared" si="0"/>
        <v>0</v>
      </c>
      <c r="N54" s="5">
        <f t="shared" si="1"/>
        <v>0</v>
      </c>
      <c r="O54" s="5">
        <f t="shared" si="2"/>
        <v>0</v>
      </c>
      <c r="P54" s="5">
        <f t="shared" si="3"/>
        <v>0</v>
      </c>
      <c r="Q54" s="5">
        <f t="shared" si="4"/>
        <v>1</v>
      </c>
      <c r="R54" s="5">
        <f t="shared" si="5"/>
        <v>0</v>
      </c>
      <c r="S54" s="2">
        <v>81834.539999999994</v>
      </c>
      <c r="T54" s="2">
        <v>463534.25</v>
      </c>
      <c r="U54" s="12">
        <f t="shared" si="6"/>
        <v>673988.14937295404</v>
      </c>
      <c r="V54">
        <f t="shared" si="7"/>
        <v>-210453.89937295404</v>
      </c>
    </row>
    <row r="55" spans="1:22" ht="14.25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5">
        <f t="shared" si="0"/>
        <v>0</v>
      </c>
      <c r="N55" s="5">
        <f t="shared" si="1"/>
        <v>0</v>
      </c>
      <c r="O55" s="5">
        <f t="shared" si="2"/>
        <v>0</v>
      </c>
      <c r="P55" s="5">
        <f t="shared" si="3"/>
        <v>0</v>
      </c>
      <c r="Q55" s="5">
        <f t="shared" si="4"/>
        <v>1</v>
      </c>
      <c r="R55" s="5">
        <f t="shared" si="5"/>
        <v>0</v>
      </c>
      <c r="S55" s="2">
        <v>122437.84</v>
      </c>
      <c r="T55" s="2">
        <v>746677.75</v>
      </c>
      <c r="U55" s="12">
        <f t="shared" si="6"/>
        <v>773265.50417481805</v>
      </c>
      <c r="V55">
        <f t="shared" si="7"/>
        <v>-26587.754174818052</v>
      </c>
    </row>
    <row r="56" spans="1:22" ht="14.25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5">
        <f t="shared" si="0"/>
        <v>0</v>
      </c>
      <c r="N56" s="5">
        <f t="shared" si="1"/>
        <v>0</v>
      </c>
      <c r="O56" s="5">
        <f t="shared" si="2"/>
        <v>0</v>
      </c>
      <c r="P56" s="5">
        <f t="shared" si="3"/>
        <v>0</v>
      </c>
      <c r="Q56" s="5">
        <f t="shared" si="4"/>
        <v>1</v>
      </c>
      <c r="R56" s="5">
        <f t="shared" si="5"/>
        <v>0</v>
      </c>
      <c r="S56" s="2">
        <v>98565.62</v>
      </c>
      <c r="T56" s="2">
        <v>720852.5</v>
      </c>
      <c r="U56" s="12">
        <f t="shared" si="6"/>
        <v>733692.08450135053</v>
      </c>
      <c r="V56">
        <f t="shared" si="7"/>
        <v>-12839.584501350531</v>
      </c>
    </row>
    <row r="57" spans="1:22" ht="14.25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5">
        <f t="shared" si="0"/>
        <v>0</v>
      </c>
      <c r="N57" s="5">
        <f t="shared" si="1"/>
        <v>0</v>
      </c>
      <c r="O57" s="5">
        <f t="shared" si="2"/>
        <v>0</v>
      </c>
      <c r="P57" s="5">
        <f t="shared" si="3"/>
        <v>0</v>
      </c>
      <c r="Q57" s="5">
        <f t="shared" si="4"/>
        <v>1</v>
      </c>
      <c r="R57" s="5">
        <f t="shared" si="5"/>
        <v>0</v>
      </c>
      <c r="S57" s="2">
        <v>64562.26</v>
      </c>
      <c r="T57" s="2">
        <v>487464.91</v>
      </c>
      <c r="U57" s="12">
        <f t="shared" si="6"/>
        <v>620583.37300533464</v>
      </c>
      <c r="V57">
        <f t="shared" si="7"/>
        <v>-133118.46300533466</v>
      </c>
    </row>
    <row r="58" spans="1:22" ht="14.25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5">
        <f t="shared" si="0"/>
        <v>0</v>
      </c>
      <c r="N58" s="5">
        <f t="shared" si="1"/>
        <v>0</v>
      </c>
      <c r="O58" s="5">
        <f t="shared" si="2"/>
        <v>1</v>
      </c>
      <c r="P58" s="5">
        <f t="shared" si="3"/>
        <v>0</v>
      </c>
      <c r="Q58" s="5">
        <f t="shared" si="4"/>
        <v>0</v>
      </c>
      <c r="R58" s="5">
        <f t="shared" si="5"/>
        <v>1</v>
      </c>
      <c r="S58" s="2">
        <v>108592.49</v>
      </c>
      <c r="T58" s="2">
        <v>518049.26</v>
      </c>
      <c r="U58" s="12">
        <f t="shared" si="6"/>
        <v>602694.37907863967</v>
      </c>
      <c r="V58">
        <f t="shared" si="7"/>
        <v>-84645.119078639662</v>
      </c>
    </row>
    <row r="59" spans="1:22" ht="14.25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5">
        <f t="shared" si="0"/>
        <v>0</v>
      </c>
      <c r="N59" s="5">
        <f t="shared" si="1"/>
        <v>0</v>
      </c>
      <c r="O59" s="5">
        <f t="shared" si="2"/>
        <v>1</v>
      </c>
      <c r="P59" s="5">
        <f t="shared" si="3"/>
        <v>0</v>
      </c>
      <c r="Q59" s="5">
        <f t="shared" si="4"/>
        <v>0</v>
      </c>
      <c r="R59" s="5">
        <f t="shared" si="5"/>
        <v>1</v>
      </c>
      <c r="S59" s="2">
        <v>73461.320000000007</v>
      </c>
      <c r="T59" s="2">
        <v>500298.48</v>
      </c>
      <c r="U59" s="12">
        <f t="shared" si="6"/>
        <v>687526.85550453444</v>
      </c>
      <c r="V59">
        <f t="shared" si="7"/>
        <v>-187228.37550453446</v>
      </c>
    </row>
    <row r="60" spans="1:22" ht="14.25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5">
        <f t="shared" si="0"/>
        <v>0</v>
      </c>
      <c r="N60" s="5">
        <f t="shared" si="1"/>
        <v>0</v>
      </c>
      <c r="O60" s="5">
        <f t="shared" si="2"/>
        <v>1</v>
      </c>
      <c r="P60" s="5">
        <f t="shared" si="3"/>
        <v>0</v>
      </c>
      <c r="Q60" s="5">
        <f t="shared" si="4"/>
        <v>0</v>
      </c>
      <c r="R60" s="5">
        <f t="shared" si="5"/>
        <v>1</v>
      </c>
      <c r="S60" s="2">
        <v>117782</v>
      </c>
      <c r="T60" s="2">
        <v>617291.15</v>
      </c>
      <c r="U60" s="12">
        <f t="shared" si="6"/>
        <v>813597.31952900719</v>
      </c>
      <c r="V60">
        <f t="shared" si="7"/>
        <v>-196306.16952900717</v>
      </c>
    </row>
    <row r="61" spans="1:22" ht="14.25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5">
        <f t="shared" si="0"/>
        <v>0</v>
      </c>
      <c r="N61" s="5">
        <f t="shared" si="1"/>
        <v>0</v>
      </c>
      <c r="O61" s="5">
        <f t="shared" si="2"/>
        <v>1</v>
      </c>
      <c r="P61" s="5">
        <f t="shared" si="3"/>
        <v>0</v>
      </c>
      <c r="Q61" s="5">
        <f t="shared" si="4"/>
        <v>0</v>
      </c>
      <c r="R61" s="5">
        <f t="shared" si="5"/>
        <v>1</v>
      </c>
      <c r="S61" s="2">
        <v>86166.77</v>
      </c>
      <c r="T61" s="2">
        <v>553756.43000000005</v>
      </c>
      <c r="U61" s="12">
        <f t="shared" si="6"/>
        <v>673853.95342252136</v>
      </c>
      <c r="V61">
        <f t="shared" si="7"/>
        <v>-120097.52342252131</v>
      </c>
    </row>
    <row r="62" spans="1:22" ht="14.25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5">
        <f t="shared" si="0"/>
        <v>0</v>
      </c>
      <c r="N62" s="5">
        <f t="shared" si="1"/>
        <v>1</v>
      </c>
      <c r="O62" s="5">
        <f t="shared" si="2"/>
        <v>0</v>
      </c>
      <c r="P62" s="5">
        <f t="shared" si="3"/>
        <v>0</v>
      </c>
      <c r="Q62" s="5">
        <f t="shared" si="4"/>
        <v>1</v>
      </c>
      <c r="R62" s="5">
        <f t="shared" si="5"/>
        <v>0</v>
      </c>
      <c r="S62" s="2">
        <v>144522.53</v>
      </c>
      <c r="T62" s="2">
        <v>749559.71</v>
      </c>
      <c r="U62" s="12">
        <f t="shared" si="6"/>
        <v>720370.96479397977</v>
      </c>
      <c r="V62">
        <f t="shared" si="7"/>
        <v>29188.74520602019</v>
      </c>
    </row>
    <row r="63" spans="1:22" ht="14.25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5">
        <f t="shared" si="0"/>
        <v>0</v>
      </c>
      <c r="N63" s="5">
        <f t="shared" si="1"/>
        <v>1</v>
      </c>
      <c r="O63" s="5">
        <f t="shared" si="2"/>
        <v>0</v>
      </c>
      <c r="P63" s="5">
        <f t="shared" si="3"/>
        <v>0</v>
      </c>
      <c r="Q63" s="5">
        <f t="shared" si="4"/>
        <v>1</v>
      </c>
      <c r="R63" s="5">
        <f t="shared" si="5"/>
        <v>0</v>
      </c>
      <c r="S63" s="2">
        <v>91509.38</v>
      </c>
      <c r="T63" s="2">
        <v>615966.48</v>
      </c>
      <c r="U63" s="12">
        <f t="shared" si="6"/>
        <v>640659.92617959529</v>
      </c>
      <c r="V63">
        <f t="shared" si="7"/>
        <v>-24693.44617959531</v>
      </c>
    </row>
    <row r="64" spans="1:22" ht="14.25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5">
        <f t="shared" si="0"/>
        <v>0</v>
      </c>
      <c r="N64" s="5">
        <f t="shared" si="1"/>
        <v>1</v>
      </c>
      <c r="O64" s="5">
        <f t="shared" si="2"/>
        <v>0</v>
      </c>
      <c r="P64" s="5">
        <f t="shared" si="3"/>
        <v>0</v>
      </c>
      <c r="Q64" s="5">
        <f t="shared" si="4"/>
        <v>1</v>
      </c>
      <c r="R64" s="5">
        <f t="shared" si="5"/>
        <v>0</v>
      </c>
      <c r="S64" s="2">
        <v>101409.68</v>
      </c>
      <c r="T64" s="2">
        <v>572011.19999999995</v>
      </c>
      <c r="U64" s="12">
        <f t="shared" si="6"/>
        <v>668326.51671645103</v>
      </c>
      <c r="V64">
        <f t="shared" si="7"/>
        <v>-96315.316716451081</v>
      </c>
    </row>
    <row r="65" spans="1:22" ht="14.25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5">
        <f t="shared" si="0"/>
        <v>0</v>
      </c>
      <c r="N65" s="5">
        <f t="shared" si="1"/>
        <v>1</v>
      </c>
      <c r="O65" s="5">
        <f t="shared" si="2"/>
        <v>0</v>
      </c>
      <c r="P65" s="5">
        <f t="shared" si="3"/>
        <v>0</v>
      </c>
      <c r="Q65" s="5">
        <f t="shared" si="4"/>
        <v>1</v>
      </c>
      <c r="R65" s="5">
        <f t="shared" si="5"/>
        <v>0</v>
      </c>
      <c r="S65" s="2">
        <v>133279.38</v>
      </c>
      <c r="T65" s="2">
        <v>761860.19</v>
      </c>
      <c r="U65" s="12">
        <f t="shared" si="6"/>
        <v>720469.46131648717</v>
      </c>
      <c r="V65">
        <f t="shared" si="7"/>
        <v>41390.728683512774</v>
      </c>
    </row>
    <row r="66" spans="1:22" ht="14.25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5">
        <f t="shared" si="0"/>
        <v>0</v>
      </c>
      <c r="N66" s="5">
        <f t="shared" si="1"/>
        <v>0</v>
      </c>
      <c r="O66" s="5">
        <f t="shared" si="2"/>
        <v>0</v>
      </c>
      <c r="P66" s="5">
        <f t="shared" si="3"/>
        <v>0</v>
      </c>
      <c r="Q66" s="5">
        <f t="shared" si="4"/>
        <v>1</v>
      </c>
      <c r="R66" s="5">
        <f t="shared" si="5"/>
        <v>0</v>
      </c>
      <c r="S66" s="2">
        <v>129519.72</v>
      </c>
      <c r="T66" s="2">
        <v>784502.68</v>
      </c>
      <c r="U66" s="12">
        <f t="shared" si="6"/>
        <v>710058.02507116739</v>
      </c>
      <c r="V66">
        <f t="shared" si="7"/>
        <v>74444.654928832664</v>
      </c>
    </row>
    <row r="67" spans="1:22" ht="14.25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5">
        <f t="shared" si="0"/>
        <v>0</v>
      </c>
      <c r="N67" s="5">
        <f t="shared" si="1"/>
        <v>0</v>
      </c>
      <c r="O67" s="5">
        <f t="shared" si="2"/>
        <v>0</v>
      </c>
      <c r="P67" s="5">
        <f t="shared" si="3"/>
        <v>0</v>
      </c>
      <c r="Q67" s="5">
        <f t="shared" si="4"/>
        <v>1</v>
      </c>
      <c r="R67" s="5">
        <f t="shared" si="5"/>
        <v>0</v>
      </c>
      <c r="S67" s="2">
        <v>134013.60999999999</v>
      </c>
      <c r="T67" s="2">
        <v>717141.55</v>
      </c>
      <c r="U67" s="12">
        <f t="shared" ref="U67:U130" si="8">561666.3931+(2.118660411*E67)</f>
        <v>670033.09767751163</v>
      </c>
      <c r="V67">
        <f t="shared" ref="V67:V130" si="9">T67-U67</f>
        <v>47108.452322488418</v>
      </c>
    </row>
    <row r="68" spans="1:22" ht="14.25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5">
        <f t="shared" si="0"/>
        <v>0</v>
      </c>
      <c r="N68" s="5">
        <f t="shared" si="1"/>
        <v>0</v>
      </c>
      <c r="O68" s="5">
        <f t="shared" si="2"/>
        <v>0</v>
      </c>
      <c r="P68" s="5">
        <f t="shared" si="3"/>
        <v>0</v>
      </c>
      <c r="Q68" s="5">
        <f t="shared" si="4"/>
        <v>1</v>
      </c>
      <c r="R68" s="5">
        <f t="shared" si="5"/>
        <v>0</v>
      </c>
      <c r="S68" s="2">
        <v>106898.82</v>
      </c>
      <c r="T68" s="2">
        <v>685379.08</v>
      </c>
      <c r="U68" s="12">
        <f t="shared" si="8"/>
        <v>729773.83393724705</v>
      </c>
      <c r="V68">
        <f t="shared" si="9"/>
        <v>-44394.753937247093</v>
      </c>
    </row>
    <row r="69" spans="1:22" ht="14.25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5">
        <f t="shared" si="0"/>
        <v>0</v>
      </c>
      <c r="N69" s="5">
        <f t="shared" si="1"/>
        <v>0</v>
      </c>
      <c r="O69" s="5">
        <f t="shared" si="2"/>
        <v>0</v>
      </c>
      <c r="P69" s="5">
        <f t="shared" si="3"/>
        <v>0</v>
      </c>
      <c r="Q69" s="5">
        <f t="shared" si="4"/>
        <v>1</v>
      </c>
      <c r="R69" s="5">
        <f t="shared" si="5"/>
        <v>0</v>
      </c>
      <c r="S69" s="2">
        <v>128020.9</v>
      </c>
      <c r="T69" s="2">
        <v>740496.65</v>
      </c>
      <c r="U69" s="12">
        <f t="shared" si="8"/>
        <v>650689.11371356237</v>
      </c>
      <c r="V69">
        <f t="shared" si="9"/>
        <v>89807.536286437651</v>
      </c>
    </row>
    <row r="70" spans="1:22" ht="14.25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5">
        <f t="shared" si="0"/>
        <v>0</v>
      </c>
      <c r="N70" s="5">
        <f t="shared" si="1"/>
        <v>0</v>
      </c>
      <c r="O70" s="5">
        <f t="shared" si="2"/>
        <v>1</v>
      </c>
      <c r="P70" s="5">
        <f t="shared" si="3"/>
        <v>0</v>
      </c>
      <c r="Q70" s="5">
        <f t="shared" si="4"/>
        <v>1</v>
      </c>
      <c r="R70" s="5">
        <f t="shared" si="5"/>
        <v>0</v>
      </c>
      <c r="S70" s="2">
        <v>79218.570000000007</v>
      </c>
      <c r="T70" s="2">
        <v>661927.14</v>
      </c>
      <c r="U70" s="12">
        <f t="shared" si="8"/>
        <v>711958.31515360565</v>
      </c>
      <c r="V70">
        <f t="shared" si="9"/>
        <v>-50031.17515360564</v>
      </c>
    </row>
    <row r="71" spans="1:22" ht="14.25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5">
        <f t="shared" si="0"/>
        <v>0</v>
      </c>
      <c r="N71" s="5">
        <f t="shared" si="1"/>
        <v>0</v>
      </c>
      <c r="O71" s="5">
        <f t="shared" si="2"/>
        <v>1</v>
      </c>
      <c r="P71" s="5">
        <f t="shared" si="3"/>
        <v>0</v>
      </c>
      <c r="Q71" s="5">
        <f t="shared" si="4"/>
        <v>1</v>
      </c>
      <c r="R71" s="5">
        <f t="shared" si="5"/>
        <v>0</v>
      </c>
      <c r="S71" s="2">
        <v>53651.11</v>
      </c>
      <c r="T71" s="2">
        <v>479050.5</v>
      </c>
      <c r="U71" s="12">
        <f t="shared" si="8"/>
        <v>639661.59220732795</v>
      </c>
      <c r="V71">
        <f t="shared" si="9"/>
        <v>-160611.09220732795</v>
      </c>
    </row>
    <row r="72" spans="1:22" ht="14.25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5">
        <f t="shared" si="0"/>
        <v>0</v>
      </c>
      <c r="N72" s="5">
        <f t="shared" si="1"/>
        <v>0</v>
      </c>
      <c r="O72" s="5">
        <f t="shared" si="2"/>
        <v>1</v>
      </c>
      <c r="P72" s="5">
        <f t="shared" si="3"/>
        <v>0</v>
      </c>
      <c r="Q72" s="5">
        <f t="shared" si="4"/>
        <v>1</v>
      </c>
      <c r="R72" s="5">
        <f t="shared" si="5"/>
        <v>0</v>
      </c>
      <c r="S72" s="2">
        <v>98545.81</v>
      </c>
      <c r="T72" s="2">
        <v>605023.87</v>
      </c>
      <c r="U72" s="12">
        <f t="shared" si="8"/>
        <v>689997.51015621796</v>
      </c>
      <c r="V72">
        <f t="shared" si="9"/>
        <v>-84973.640156217967</v>
      </c>
    </row>
    <row r="73" spans="1:22" ht="14.25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3.3650000000000002</v>
      </c>
      <c r="K73" s="2">
        <v>0</v>
      </c>
      <c r="L73" s="2">
        <v>3.5</v>
      </c>
      <c r="M73" s="5">
        <f t="shared" si="0"/>
        <v>0</v>
      </c>
      <c r="N73" s="5">
        <f t="shared" si="1"/>
        <v>0</v>
      </c>
      <c r="O73" s="5">
        <f t="shared" si="2"/>
        <v>1</v>
      </c>
      <c r="P73" s="5">
        <f t="shared" si="3"/>
        <v>0</v>
      </c>
      <c r="Q73" s="5">
        <f t="shared" si="4"/>
        <v>1</v>
      </c>
      <c r="R73" s="5">
        <f t="shared" si="5"/>
        <v>0</v>
      </c>
      <c r="S73" s="2">
        <v>141917.59</v>
      </c>
      <c r="T73" s="2">
        <v>674774.09</v>
      </c>
      <c r="U73" s="12">
        <f t="shared" si="8"/>
        <v>678364.66618395678</v>
      </c>
      <c r="V73">
        <f t="shared" si="9"/>
        <v>-3590.5761839568149</v>
      </c>
    </row>
    <row r="74" spans="1:22" ht="14.25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5">
        <f t="shared" si="0"/>
        <v>0</v>
      </c>
      <c r="N74" s="5">
        <f t="shared" si="1"/>
        <v>0</v>
      </c>
      <c r="O74" s="5">
        <f t="shared" si="2"/>
        <v>1</v>
      </c>
      <c r="P74" s="5">
        <f t="shared" si="3"/>
        <v>0</v>
      </c>
      <c r="Q74" s="5">
        <f t="shared" si="4"/>
        <v>0</v>
      </c>
      <c r="R74" s="5">
        <f t="shared" si="5"/>
        <v>0</v>
      </c>
      <c r="S74" s="2">
        <v>54453.99</v>
      </c>
      <c r="T74" s="2">
        <v>616069.41</v>
      </c>
      <c r="U74" s="12">
        <f t="shared" si="8"/>
        <v>659551.59733240004</v>
      </c>
      <c r="V74">
        <f t="shared" si="9"/>
        <v>-43482.187332400004</v>
      </c>
    </row>
    <row r="75" spans="1:22" ht="14.25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5">
        <f t="shared" si="0"/>
        <v>0</v>
      </c>
      <c r="N75" s="5">
        <f t="shared" si="1"/>
        <v>0</v>
      </c>
      <c r="O75" s="5">
        <f t="shared" si="2"/>
        <v>1</v>
      </c>
      <c r="P75" s="5">
        <f t="shared" si="3"/>
        <v>0</v>
      </c>
      <c r="Q75" s="5">
        <f t="shared" si="4"/>
        <v>0</v>
      </c>
      <c r="R75" s="5">
        <f t="shared" si="5"/>
        <v>0</v>
      </c>
      <c r="S75" s="2">
        <v>117090.02</v>
      </c>
      <c r="T75" s="2">
        <v>630829.93999999994</v>
      </c>
      <c r="U75" s="12">
        <f t="shared" si="8"/>
        <v>675571.76328376005</v>
      </c>
      <c r="V75">
        <f t="shared" si="9"/>
        <v>-44741.82328376011</v>
      </c>
    </row>
    <row r="76" spans="1:22" ht="14.25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5">
        <f t="shared" si="0"/>
        <v>0</v>
      </c>
      <c r="N76" s="5">
        <f t="shared" si="1"/>
        <v>0</v>
      </c>
      <c r="O76" s="5">
        <f t="shared" si="2"/>
        <v>1</v>
      </c>
      <c r="P76" s="5">
        <f t="shared" si="3"/>
        <v>0</v>
      </c>
      <c r="Q76" s="5">
        <f t="shared" si="4"/>
        <v>0</v>
      </c>
      <c r="R76" s="5">
        <f t="shared" si="5"/>
        <v>0</v>
      </c>
      <c r="S76" s="2">
        <v>116803.42</v>
      </c>
      <c r="T76" s="2">
        <v>788087.68</v>
      </c>
      <c r="U76" s="12">
        <f t="shared" si="8"/>
        <v>710279.36152430461</v>
      </c>
      <c r="V76">
        <f t="shared" si="9"/>
        <v>77808.318475695443</v>
      </c>
    </row>
    <row r="77" spans="1:22" ht="14.25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5">
        <f t="shared" si="0"/>
        <v>0</v>
      </c>
      <c r="N77" s="5">
        <f t="shared" si="1"/>
        <v>0</v>
      </c>
      <c r="O77" s="5">
        <f t="shared" si="2"/>
        <v>1</v>
      </c>
      <c r="P77" s="5">
        <f t="shared" si="3"/>
        <v>0</v>
      </c>
      <c r="Q77" s="5">
        <f t="shared" si="4"/>
        <v>0</v>
      </c>
      <c r="R77" s="5">
        <f t="shared" si="5"/>
        <v>0</v>
      </c>
      <c r="S77" s="2">
        <v>68007.679999999993</v>
      </c>
      <c r="T77" s="2">
        <v>680840.36</v>
      </c>
      <c r="U77" s="12">
        <f t="shared" si="8"/>
        <v>686136.90834189788</v>
      </c>
      <c r="V77">
        <f t="shared" si="9"/>
        <v>-5296.5483418978984</v>
      </c>
    </row>
    <row r="78" spans="1:22" ht="14.25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5">
        <f t="shared" si="0"/>
        <v>0</v>
      </c>
      <c r="N78" s="5">
        <f t="shared" si="1"/>
        <v>1</v>
      </c>
      <c r="O78" s="5">
        <f t="shared" si="2"/>
        <v>0</v>
      </c>
      <c r="P78" s="5">
        <f t="shared" si="3"/>
        <v>0</v>
      </c>
      <c r="Q78" s="5">
        <f t="shared" si="4"/>
        <v>1</v>
      </c>
      <c r="R78" s="5">
        <f t="shared" si="5"/>
        <v>0</v>
      </c>
      <c r="S78" s="2">
        <v>87022.45</v>
      </c>
      <c r="T78" s="2">
        <v>643657.47</v>
      </c>
      <c r="U78" s="12">
        <f t="shared" si="8"/>
        <v>682373.21405477694</v>
      </c>
      <c r="V78">
        <f t="shared" si="9"/>
        <v>-38715.744054776966</v>
      </c>
    </row>
    <row r="79" spans="1:22" ht="14.25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5">
        <f t="shared" si="0"/>
        <v>0</v>
      </c>
      <c r="N79" s="5">
        <f t="shared" si="1"/>
        <v>1</v>
      </c>
      <c r="O79" s="5">
        <f t="shared" si="2"/>
        <v>0</v>
      </c>
      <c r="P79" s="5">
        <f t="shared" si="3"/>
        <v>0</v>
      </c>
      <c r="Q79" s="5">
        <f t="shared" si="4"/>
        <v>1</v>
      </c>
      <c r="R79" s="5">
        <f t="shared" si="5"/>
        <v>0</v>
      </c>
      <c r="S79" s="2">
        <v>109212.83</v>
      </c>
      <c r="T79" s="2">
        <v>691112.6</v>
      </c>
      <c r="U79" s="12">
        <f t="shared" si="8"/>
        <v>677923.26447392907</v>
      </c>
      <c r="V79">
        <f t="shared" si="9"/>
        <v>13189.335526070907</v>
      </c>
    </row>
    <row r="80" spans="1:22" ht="14.25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5">
        <f t="shared" si="0"/>
        <v>0</v>
      </c>
      <c r="N80" s="5">
        <f t="shared" si="1"/>
        <v>1</v>
      </c>
      <c r="O80" s="5">
        <f t="shared" si="2"/>
        <v>0</v>
      </c>
      <c r="P80" s="5">
        <f t="shared" si="3"/>
        <v>0</v>
      </c>
      <c r="Q80" s="5">
        <f t="shared" si="4"/>
        <v>1</v>
      </c>
      <c r="R80" s="5">
        <f t="shared" si="5"/>
        <v>0</v>
      </c>
      <c r="S80" s="2">
        <v>150701.93</v>
      </c>
      <c r="T80" s="2">
        <v>776922.17</v>
      </c>
      <c r="U80" s="12">
        <f t="shared" si="8"/>
        <v>732351.62924591487</v>
      </c>
      <c r="V80">
        <f t="shared" si="9"/>
        <v>44570.540754085174</v>
      </c>
    </row>
    <row r="81" spans="1:22" ht="14.25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5">
        <f t="shared" si="0"/>
        <v>0</v>
      </c>
      <c r="N81" s="5">
        <f t="shared" si="1"/>
        <v>1</v>
      </c>
      <c r="O81" s="5">
        <f t="shared" si="2"/>
        <v>0</v>
      </c>
      <c r="P81" s="5">
        <f t="shared" si="3"/>
        <v>0</v>
      </c>
      <c r="Q81" s="5">
        <f t="shared" si="4"/>
        <v>1</v>
      </c>
      <c r="R81" s="5">
        <f t="shared" si="5"/>
        <v>0</v>
      </c>
      <c r="S81" s="2">
        <v>93861.06</v>
      </c>
      <c r="T81" s="2">
        <v>636561.34</v>
      </c>
      <c r="U81" s="12">
        <f t="shared" si="8"/>
        <v>726921.69329195889</v>
      </c>
      <c r="V81">
        <f t="shared" si="9"/>
        <v>-90360.35329195892</v>
      </c>
    </row>
    <row r="82" spans="1:22" ht="14.25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5">
        <f t="shared" si="0"/>
        <v>0</v>
      </c>
      <c r="N82" s="5">
        <f t="shared" si="1"/>
        <v>0</v>
      </c>
      <c r="O82" s="5">
        <f t="shared" si="2"/>
        <v>0</v>
      </c>
      <c r="P82" s="5">
        <f t="shared" si="3"/>
        <v>1</v>
      </c>
      <c r="Q82" s="5">
        <f t="shared" si="4"/>
        <v>0</v>
      </c>
      <c r="R82" s="5">
        <f t="shared" si="5"/>
        <v>0</v>
      </c>
      <c r="S82" s="2">
        <v>85493.64</v>
      </c>
      <c r="T82" s="2">
        <v>621369.57999999996</v>
      </c>
      <c r="U82" s="12">
        <f t="shared" si="8"/>
        <v>690652.57876869512</v>
      </c>
      <c r="V82">
        <f t="shared" si="9"/>
        <v>-69282.998768695164</v>
      </c>
    </row>
    <row r="83" spans="1:22" ht="14.25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5">
        <f t="shared" si="0"/>
        <v>0</v>
      </c>
      <c r="N83" s="5">
        <f t="shared" si="1"/>
        <v>0</v>
      </c>
      <c r="O83" s="5">
        <f t="shared" si="2"/>
        <v>0</v>
      </c>
      <c r="P83" s="5">
        <f t="shared" si="3"/>
        <v>1</v>
      </c>
      <c r="Q83" s="5">
        <f t="shared" si="4"/>
        <v>0</v>
      </c>
      <c r="R83" s="5">
        <f t="shared" si="5"/>
        <v>0</v>
      </c>
      <c r="S83" s="2">
        <v>110318.84</v>
      </c>
      <c r="T83" s="2">
        <v>682208.01</v>
      </c>
      <c r="U83" s="12">
        <f t="shared" si="8"/>
        <v>690117.3415890641</v>
      </c>
      <c r="V83">
        <f t="shared" si="9"/>
        <v>-7909.3315890640952</v>
      </c>
    </row>
    <row r="84" spans="1:22" ht="14.25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5">
        <f t="shared" si="0"/>
        <v>0</v>
      </c>
      <c r="N84" s="5">
        <f t="shared" si="1"/>
        <v>0</v>
      </c>
      <c r="O84" s="5">
        <f t="shared" si="2"/>
        <v>0</v>
      </c>
      <c r="P84" s="5">
        <f t="shared" si="3"/>
        <v>1</v>
      </c>
      <c r="Q84" s="5">
        <f t="shared" si="4"/>
        <v>0</v>
      </c>
      <c r="R84" s="5">
        <f t="shared" si="5"/>
        <v>0</v>
      </c>
      <c r="S84" s="2">
        <v>155810.29999999999</v>
      </c>
      <c r="T84" s="2">
        <v>727241.86</v>
      </c>
      <c r="U84" s="12">
        <f t="shared" si="8"/>
        <v>715758.9800648985</v>
      </c>
      <c r="V84">
        <f t="shared" si="9"/>
        <v>11482.87993510149</v>
      </c>
    </row>
    <row r="85" spans="1:22" ht="14.25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5">
        <f t="shared" si="0"/>
        <v>0</v>
      </c>
      <c r="N85" s="5">
        <f t="shared" si="1"/>
        <v>0</v>
      </c>
      <c r="O85" s="5">
        <f t="shared" si="2"/>
        <v>0</v>
      </c>
      <c r="P85" s="5">
        <f t="shared" si="3"/>
        <v>1</v>
      </c>
      <c r="Q85" s="5">
        <f t="shared" si="4"/>
        <v>0</v>
      </c>
      <c r="R85" s="5">
        <f t="shared" si="5"/>
        <v>0</v>
      </c>
      <c r="S85" s="2">
        <v>104808.78</v>
      </c>
      <c r="T85" s="2">
        <v>569100.78</v>
      </c>
      <c r="U85" s="12">
        <f t="shared" si="8"/>
        <v>638946.03584011679</v>
      </c>
      <c r="V85">
        <f t="shared" si="9"/>
        <v>-69845.255840116763</v>
      </c>
    </row>
    <row r="86" spans="1:22" ht="14.25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5">
        <f t="shared" si="0"/>
        <v>0</v>
      </c>
      <c r="N86" s="5">
        <f t="shared" si="1"/>
        <v>0</v>
      </c>
      <c r="O86" s="5">
        <f t="shared" si="2"/>
        <v>0</v>
      </c>
      <c r="P86" s="5">
        <f t="shared" si="3"/>
        <v>0</v>
      </c>
      <c r="Q86" s="5">
        <f t="shared" si="4"/>
        <v>1</v>
      </c>
      <c r="R86" s="5">
        <f t="shared" si="5"/>
        <v>0</v>
      </c>
      <c r="S86" s="2">
        <v>80271.990000000005</v>
      </c>
      <c r="T86" s="2">
        <v>574436.29</v>
      </c>
      <c r="U86" s="12">
        <f t="shared" si="8"/>
        <v>679014.98899711319</v>
      </c>
      <c r="V86">
        <f t="shared" si="9"/>
        <v>-104578.69899711316</v>
      </c>
    </row>
    <row r="87" spans="1:22" ht="14.25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4">
        <v>3.9</v>
      </c>
      <c r="M87" s="5">
        <f t="shared" si="0"/>
        <v>0</v>
      </c>
      <c r="N87" s="5">
        <f t="shared" si="1"/>
        <v>0</v>
      </c>
      <c r="O87" s="5">
        <f t="shared" si="2"/>
        <v>0</v>
      </c>
      <c r="P87" s="5">
        <f t="shared" si="3"/>
        <v>0</v>
      </c>
      <c r="Q87" s="5">
        <f t="shared" si="4"/>
        <v>1</v>
      </c>
      <c r="R87" s="5">
        <f t="shared" si="5"/>
        <v>0</v>
      </c>
      <c r="S87" s="2">
        <v>88275.61</v>
      </c>
      <c r="T87" s="2">
        <v>611766.72</v>
      </c>
      <c r="U87" s="12">
        <f t="shared" si="8"/>
        <v>749048.70719858946</v>
      </c>
      <c r="V87">
        <f t="shared" si="9"/>
        <v>-137281.98719858949</v>
      </c>
    </row>
    <row r="88" spans="1:22" ht="14.25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5">
        <f t="shared" si="0"/>
        <v>0</v>
      </c>
      <c r="N88" s="5">
        <f t="shared" si="1"/>
        <v>0</v>
      </c>
      <c r="O88" s="5">
        <f t="shared" si="2"/>
        <v>0</v>
      </c>
      <c r="P88" s="5">
        <f t="shared" si="3"/>
        <v>0</v>
      </c>
      <c r="Q88" s="5">
        <f t="shared" si="4"/>
        <v>1</v>
      </c>
      <c r="R88" s="5">
        <f t="shared" si="5"/>
        <v>0</v>
      </c>
      <c r="S88" s="2">
        <v>131199.41</v>
      </c>
      <c r="T88" s="2">
        <v>614596.31999999995</v>
      </c>
      <c r="U88" s="12">
        <f t="shared" si="8"/>
        <v>727413.24369391496</v>
      </c>
      <c r="V88">
        <f t="shared" si="9"/>
        <v>-112816.92369391501</v>
      </c>
    </row>
    <row r="89" spans="1:22" ht="14.25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5">
        <f t="shared" si="0"/>
        <v>0</v>
      </c>
      <c r="N89" s="5">
        <f t="shared" si="1"/>
        <v>0</v>
      </c>
      <c r="O89" s="5">
        <f t="shared" si="2"/>
        <v>0</v>
      </c>
      <c r="P89" s="5">
        <f t="shared" si="3"/>
        <v>0</v>
      </c>
      <c r="Q89" s="5">
        <f t="shared" si="4"/>
        <v>1</v>
      </c>
      <c r="R89" s="5">
        <f t="shared" si="5"/>
        <v>0</v>
      </c>
      <c r="S89" s="2">
        <v>90043.76</v>
      </c>
      <c r="T89" s="2">
        <v>450711.92</v>
      </c>
      <c r="U89" s="12">
        <f t="shared" si="8"/>
        <v>601913.14423868747</v>
      </c>
      <c r="V89">
        <f t="shared" si="9"/>
        <v>-151201.22423868749</v>
      </c>
    </row>
    <row r="90" spans="1:22" ht="14.25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5">
        <f t="shared" si="0"/>
        <v>0</v>
      </c>
      <c r="N90" s="5">
        <f t="shared" si="1"/>
        <v>1</v>
      </c>
      <c r="O90" s="5">
        <f t="shared" si="2"/>
        <v>0</v>
      </c>
      <c r="P90" s="5">
        <f t="shared" si="3"/>
        <v>1</v>
      </c>
      <c r="Q90" s="5">
        <f t="shared" si="4"/>
        <v>0</v>
      </c>
      <c r="R90" s="5">
        <f t="shared" si="5"/>
        <v>0</v>
      </c>
      <c r="S90" s="2">
        <v>105863.26</v>
      </c>
      <c r="T90" s="2">
        <v>711213.46</v>
      </c>
      <c r="U90" s="12">
        <f t="shared" si="8"/>
        <v>668696.75262327329</v>
      </c>
      <c r="V90">
        <f t="shared" si="9"/>
        <v>42516.70737672667</v>
      </c>
    </row>
    <row r="91" spans="1:22" ht="14.25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5">
        <f t="shared" si="0"/>
        <v>0</v>
      </c>
      <c r="N91" s="5">
        <f t="shared" si="1"/>
        <v>1</v>
      </c>
      <c r="O91" s="5">
        <f t="shared" si="2"/>
        <v>0</v>
      </c>
      <c r="P91" s="5">
        <f t="shared" si="3"/>
        <v>1</v>
      </c>
      <c r="Q91" s="5">
        <f t="shared" si="4"/>
        <v>0</v>
      </c>
      <c r="R91" s="5">
        <f t="shared" si="5"/>
        <v>0</v>
      </c>
      <c r="S91" s="2">
        <v>105772.75</v>
      </c>
      <c r="T91" s="2">
        <v>627171.9</v>
      </c>
      <c r="U91" s="12">
        <f t="shared" si="8"/>
        <v>861542.20208445913</v>
      </c>
      <c r="V91">
        <f t="shared" si="9"/>
        <v>-234370.30208445911</v>
      </c>
    </row>
    <row r="92" spans="1:22" ht="14.25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5">
        <f t="shared" si="0"/>
        <v>0</v>
      </c>
      <c r="N92" s="5">
        <f t="shared" si="1"/>
        <v>1</v>
      </c>
      <c r="O92" s="5">
        <f t="shared" si="2"/>
        <v>0</v>
      </c>
      <c r="P92" s="5">
        <f t="shared" si="3"/>
        <v>1</v>
      </c>
      <c r="Q92" s="5">
        <f t="shared" si="4"/>
        <v>0</v>
      </c>
      <c r="R92" s="5">
        <f t="shared" si="5"/>
        <v>0</v>
      </c>
      <c r="S92" s="2">
        <v>129386.43</v>
      </c>
      <c r="T92" s="2">
        <v>739852.58</v>
      </c>
      <c r="U92" s="12">
        <f t="shared" si="8"/>
        <v>735642.71395515406</v>
      </c>
      <c r="V92">
        <f t="shared" si="9"/>
        <v>4209.8660448458977</v>
      </c>
    </row>
    <row r="93" spans="1:22" ht="14.25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5">
        <f t="shared" si="0"/>
        <v>0</v>
      </c>
      <c r="N93" s="5">
        <f t="shared" si="1"/>
        <v>1</v>
      </c>
      <c r="O93" s="5">
        <f t="shared" si="2"/>
        <v>0</v>
      </c>
      <c r="P93" s="5">
        <f t="shared" si="3"/>
        <v>1</v>
      </c>
      <c r="Q93" s="5">
        <f t="shared" si="4"/>
        <v>0</v>
      </c>
      <c r="R93" s="5">
        <f t="shared" si="5"/>
        <v>0</v>
      </c>
      <c r="S93" s="2">
        <v>73927.850000000006</v>
      </c>
      <c r="T93" s="2">
        <v>586307.22</v>
      </c>
      <c r="U93" s="12">
        <f t="shared" si="8"/>
        <v>627784.50906288659</v>
      </c>
      <c r="V93">
        <f t="shared" si="9"/>
        <v>-41477.289062886615</v>
      </c>
    </row>
    <row r="94" spans="1:22" ht="14.25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5">
        <f t="shared" si="0"/>
        <v>0</v>
      </c>
      <c r="N94" s="5">
        <f t="shared" si="1"/>
        <v>0</v>
      </c>
      <c r="O94" s="5">
        <f t="shared" si="2"/>
        <v>0</v>
      </c>
      <c r="P94" s="5">
        <f t="shared" si="3"/>
        <v>0</v>
      </c>
      <c r="Q94" s="5">
        <f t="shared" si="4"/>
        <v>0</v>
      </c>
      <c r="R94" s="5">
        <f t="shared" si="5"/>
        <v>0</v>
      </c>
      <c r="S94" s="2">
        <v>82624.2</v>
      </c>
      <c r="T94" s="2">
        <v>585937.48</v>
      </c>
      <c r="U94" s="12">
        <f t="shared" si="8"/>
        <v>644223.36468466849</v>
      </c>
      <c r="V94">
        <f t="shared" si="9"/>
        <v>-58285.884684668505</v>
      </c>
    </row>
    <row r="95" spans="1:22" ht="14.25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5">
        <f t="shared" si="0"/>
        <v>0</v>
      </c>
      <c r="N95" s="5">
        <f t="shared" si="1"/>
        <v>0</v>
      </c>
      <c r="O95" s="5">
        <f t="shared" si="2"/>
        <v>0</v>
      </c>
      <c r="P95" s="5">
        <f t="shared" si="3"/>
        <v>0</v>
      </c>
      <c r="Q95" s="5">
        <f t="shared" si="4"/>
        <v>0</v>
      </c>
      <c r="R95" s="5">
        <f t="shared" si="5"/>
        <v>0</v>
      </c>
      <c r="S95" s="2">
        <v>151527.22</v>
      </c>
      <c r="T95" s="2">
        <v>753473.55</v>
      </c>
      <c r="U95" s="12">
        <f t="shared" si="8"/>
        <v>704547.36815555231</v>
      </c>
      <c r="V95">
        <f t="shared" si="9"/>
        <v>48926.181844447739</v>
      </c>
    </row>
    <row r="96" spans="1:22" ht="14.25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5">
        <f t="shared" si="0"/>
        <v>0</v>
      </c>
      <c r="N96" s="5">
        <f t="shared" si="1"/>
        <v>0</v>
      </c>
      <c r="O96" s="5">
        <f t="shared" si="2"/>
        <v>0</v>
      </c>
      <c r="P96" s="5">
        <f t="shared" si="3"/>
        <v>0</v>
      </c>
      <c r="Q96" s="5">
        <f t="shared" si="4"/>
        <v>0</v>
      </c>
      <c r="R96" s="5">
        <f t="shared" si="5"/>
        <v>0</v>
      </c>
      <c r="S96" s="2">
        <v>122939.34</v>
      </c>
      <c r="T96" s="2">
        <v>838250.32</v>
      </c>
      <c r="U96" s="12">
        <f t="shared" si="8"/>
        <v>744765.00890019268</v>
      </c>
      <c r="V96">
        <f t="shared" si="9"/>
        <v>93485.311099807266</v>
      </c>
    </row>
    <row r="97" spans="1:22" ht="14.25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5">
        <f t="shared" si="0"/>
        <v>0</v>
      </c>
      <c r="N97" s="5">
        <f t="shared" si="1"/>
        <v>0</v>
      </c>
      <c r="O97" s="5">
        <f t="shared" si="2"/>
        <v>0</v>
      </c>
      <c r="P97" s="5">
        <f t="shared" si="3"/>
        <v>0</v>
      </c>
      <c r="Q97" s="5">
        <f t="shared" si="4"/>
        <v>0</v>
      </c>
      <c r="R97" s="5">
        <f t="shared" si="5"/>
        <v>0</v>
      </c>
      <c r="S97" s="2">
        <v>135404.85</v>
      </c>
      <c r="T97" s="2">
        <v>607898.12</v>
      </c>
      <c r="U97" s="12">
        <f t="shared" si="8"/>
        <v>581867.07858774113</v>
      </c>
      <c r="V97">
        <f t="shared" si="9"/>
        <v>26031.04141225887</v>
      </c>
    </row>
    <row r="98" spans="1:22" ht="14.25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5">
        <f t="shared" si="0"/>
        <v>0</v>
      </c>
      <c r="N98" s="5">
        <f t="shared" si="1"/>
        <v>0</v>
      </c>
      <c r="O98" s="5">
        <f t="shared" si="2"/>
        <v>0</v>
      </c>
      <c r="P98" s="5">
        <f t="shared" si="3"/>
        <v>1</v>
      </c>
      <c r="Q98" s="5">
        <f t="shared" si="4"/>
        <v>0</v>
      </c>
      <c r="R98" s="5">
        <f t="shared" si="5"/>
        <v>0</v>
      </c>
      <c r="S98" s="2">
        <v>135145.44</v>
      </c>
      <c r="T98" s="2">
        <v>691113.62</v>
      </c>
      <c r="U98" s="12">
        <f t="shared" si="8"/>
        <v>691184.48965148081</v>
      </c>
      <c r="V98">
        <f t="shared" si="9"/>
        <v>-70.869651480810717</v>
      </c>
    </row>
    <row r="99" spans="1:22" ht="14.25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5">
        <f t="shared" si="0"/>
        <v>0</v>
      </c>
      <c r="N99" s="5">
        <f t="shared" si="1"/>
        <v>0</v>
      </c>
      <c r="O99" s="5">
        <f t="shared" si="2"/>
        <v>0</v>
      </c>
      <c r="P99" s="5">
        <f t="shared" si="3"/>
        <v>1</v>
      </c>
      <c r="Q99" s="5">
        <f t="shared" si="4"/>
        <v>0</v>
      </c>
      <c r="R99" s="5">
        <f t="shared" si="5"/>
        <v>0</v>
      </c>
      <c r="S99" s="2">
        <v>83895.96</v>
      </c>
      <c r="T99" s="2">
        <v>735509.4</v>
      </c>
      <c r="U99" s="12">
        <f t="shared" si="8"/>
        <v>728700.28752038931</v>
      </c>
      <c r="V99">
        <f t="shared" si="9"/>
        <v>6809.1124796107179</v>
      </c>
    </row>
    <row r="100" spans="1:22" ht="14.25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3.3650000000000002</v>
      </c>
      <c r="K100" s="2">
        <v>0</v>
      </c>
      <c r="L100" s="2">
        <v>4.3</v>
      </c>
      <c r="M100" s="5">
        <f t="shared" si="0"/>
        <v>0</v>
      </c>
      <c r="N100" s="5">
        <f t="shared" si="1"/>
        <v>0</v>
      </c>
      <c r="O100" s="5">
        <f t="shared" si="2"/>
        <v>0</v>
      </c>
      <c r="P100" s="5">
        <f t="shared" si="3"/>
        <v>1</v>
      </c>
      <c r="Q100" s="5">
        <f t="shared" si="4"/>
        <v>0</v>
      </c>
      <c r="R100" s="5">
        <f t="shared" si="5"/>
        <v>0</v>
      </c>
      <c r="S100" s="2">
        <v>107194.6</v>
      </c>
      <c r="T100" s="2">
        <v>605775.32999999996</v>
      </c>
      <c r="U100" s="12">
        <f t="shared" si="8"/>
        <v>643770.41627540078</v>
      </c>
      <c r="V100">
        <f t="shared" si="9"/>
        <v>-37995.086275400827</v>
      </c>
    </row>
    <row r="101" spans="1:22" ht="14.25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5">
        <f t="shared" si="0"/>
        <v>0</v>
      </c>
      <c r="N101" s="5">
        <f t="shared" si="1"/>
        <v>0</v>
      </c>
      <c r="O101" s="5">
        <f t="shared" si="2"/>
        <v>0</v>
      </c>
      <c r="P101" s="5">
        <f t="shared" si="3"/>
        <v>1</v>
      </c>
      <c r="Q101" s="5">
        <f t="shared" si="4"/>
        <v>0</v>
      </c>
      <c r="R101" s="5">
        <f t="shared" si="5"/>
        <v>0</v>
      </c>
      <c r="S101" s="2">
        <v>105628.68</v>
      </c>
      <c r="T101" s="2">
        <v>675177.68</v>
      </c>
      <c r="U101" s="12">
        <f t="shared" si="8"/>
        <v>678406.91227255203</v>
      </c>
      <c r="V101">
        <f t="shared" si="9"/>
        <v>-3229.2322725519771</v>
      </c>
    </row>
    <row r="102" spans="1:22" ht="14.25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5">
        <f t="shared" si="0"/>
        <v>0</v>
      </c>
      <c r="N102" s="5">
        <f t="shared" si="1"/>
        <v>0</v>
      </c>
      <c r="O102" s="5">
        <f t="shared" si="2"/>
        <v>1</v>
      </c>
      <c r="P102" s="5">
        <f t="shared" si="3"/>
        <v>1</v>
      </c>
      <c r="Q102" s="5">
        <f t="shared" si="4"/>
        <v>0</v>
      </c>
      <c r="R102" s="5">
        <f t="shared" si="5"/>
        <v>0</v>
      </c>
      <c r="S102" s="2">
        <v>83341.25</v>
      </c>
      <c r="T102" s="2">
        <v>635181.35</v>
      </c>
      <c r="U102" s="12">
        <f t="shared" si="8"/>
        <v>674134.9725394363</v>
      </c>
      <c r="V102">
        <f t="shared" si="9"/>
        <v>-38953.622539436328</v>
      </c>
    </row>
    <row r="103" spans="1:22" ht="14.25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5">
        <f t="shared" si="0"/>
        <v>0</v>
      </c>
      <c r="N103" s="5">
        <f t="shared" si="1"/>
        <v>0</v>
      </c>
      <c r="O103" s="5">
        <f t="shared" si="2"/>
        <v>1</v>
      </c>
      <c r="P103" s="5">
        <f t="shared" si="3"/>
        <v>1</v>
      </c>
      <c r="Q103" s="5">
        <f t="shared" si="4"/>
        <v>0</v>
      </c>
      <c r="R103" s="5">
        <f t="shared" si="5"/>
        <v>0</v>
      </c>
      <c r="S103" s="2">
        <v>86498.55</v>
      </c>
      <c r="T103" s="2">
        <v>586626.93999999994</v>
      </c>
      <c r="U103" s="12">
        <f t="shared" si="8"/>
        <v>695357.23370415345</v>
      </c>
      <c r="V103">
        <f t="shared" si="9"/>
        <v>-108730.2937041535</v>
      </c>
    </row>
    <row r="104" spans="1:22" ht="14.25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5">
        <f t="shared" si="0"/>
        <v>0</v>
      </c>
      <c r="N104" s="5">
        <f t="shared" si="1"/>
        <v>0</v>
      </c>
      <c r="O104" s="5">
        <f t="shared" si="2"/>
        <v>1</v>
      </c>
      <c r="P104" s="5">
        <f t="shared" si="3"/>
        <v>1</v>
      </c>
      <c r="Q104" s="5">
        <f t="shared" si="4"/>
        <v>0</v>
      </c>
      <c r="R104" s="5">
        <f t="shared" si="5"/>
        <v>0</v>
      </c>
      <c r="S104" s="2">
        <v>114299.07</v>
      </c>
      <c r="T104" s="2">
        <v>740102.64</v>
      </c>
      <c r="U104" s="12">
        <f t="shared" si="8"/>
        <v>752524.64502868836</v>
      </c>
      <c r="V104">
        <f t="shared" si="9"/>
        <v>-12422.005028688349</v>
      </c>
    </row>
    <row r="105" spans="1:22" ht="14.25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5">
        <f t="shared" si="0"/>
        <v>0</v>
      </c>
      <c r="N105" s="5">
        <f t="shared" si="1"/>
        <v>0</v>
      </c>
      <c r="O105" s="5">
        <f t="shared" si="2"/>
        <v>1</v>
      </c>
      <c r="P105" s="5">
        <f t="shared" si="3"/>
        <v>1</v>
      </c>
      <c r="Q105" s="5">
        <f t="shared" si="4"/>
        <v>0</v>
      </c>
      <c r="R105" s="5">
        <f t="shared" si="5"/>
        <v>0</v>
      </c>
      <c r="S105" s="2">
        <v>120685.08</v>
      </c>
      <c r="T105" s="2">
        <v>625514.04</v>
      </c>
      <c r="U105" s="12">
        <f t="shared" si="8"/>
        <v>630028.44586398907</v>
      </c>
      <c r="V105">
        <f t="shared" si="9"/>
        <v>-4514.4058639890281</v>
      </c>
    </row>
    <row r="106" spans="1:22" ht="14.25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5">
        <f t="shared" si="0"/>
        <v>0</v>
      </c>
      <c r="N106" s="5">
        <f t="shared" si="1"/>
        <v>0</v>
      </c>
      <c r="O106" s="5">
        <f t="shared" si="2"/>
        <v>0</v>
      </c>
      <c r="P106" s="5">
        <f t="shared" si="3"/>
        <v>0</v>
      </c>
      <c r="Q106" s="5">
        <f t="shared" si="4"/>
        <v>1</v>
      </c>
      <c r="R106" s="5">
        <f t="shared" si="5"/>
        <v>0</v>
      </c>
      <c r="S106" s="2">
        <v>121292.01</v>
      </c>
      <c r="T106" s="2">
        <v>727227.2</v>
      </c>
      <c r="U106" s="12">
        <f t="shared" si="8"/>
        <v>684377.23375093774</v>
      </c>
      <c r="V106">
        <f t="shared" si="9"/>
        <v>42849.966249062214</v>
      </c>
    </row>
    <row r="107" spans="1:22" ht="14.25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5">
        <f t="shared" si="0"/>
        <v>0</v>
      </c>
      <c r="N107" s="5">
        <f t="shared" si="1"/>
        <v>0</v>
      </c>
      <c r="O107" s="5">
        <f t="shared" si="2"/>
        <v>0</v>
      </c>
      <c r="P107" s="5">
        <f t="shared" si="3"/>
        <v>0</v>
      </c>
      <c r="Q107" s="5">
        <f t="shared" si="4"/>
        <v>1</v>
      </c>
      <c r="R107" s="5">
        <f t="shared" si="5"/>
        <v>0</v>
      </c>
      <c r="S107" s="2">
        <v>157620.70000000001</v>
      </c>
      <c r="T107" s="2">
        <v>783797.89</v>
      </c>
      <c r="U107" s="12">
        <f t="shared" si="8"/>
        <v>719886.5754642128</v>
      </c>
      <c r="V107">
        <f t="shared" si="9"/>
        <v>63911.314535787213</v>
      </c>
    </row>
    <row r="108" spans="1:22" ht="14.25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5">
        <f t="shared" si="0"/>
        <v>0</v>
      </c>
      <c r="N108" s="5">
        <f t="shared" si="1"/>
        <v>0</v>
      </c>
      <c r="O108" s="5">
        <f t="shared" si="2"/>
        <v>0</v>
      </c>
      <c r="P108" s="5">
        <f t="shared" si="3"/>
        <v>0</v>
      </c>
      <c r="Q108" s="5">
        <f t="shared" si="4"/>
        <v>1</v>
      </c>
      <c r="R108" s="5">
        <f t="shared" si="5"/>
        <v>0</v>
      </c>
      <c r="S108" s="2">
        <v>143194.21</v>
      </c>
      <c r="T108" s="2">
        <v>795153.84</v>
      </c>
      <c r="U108" s="12">
        <f t="shared" si="8"/>
        <v>697884.03285672853</v>
      </c>
      <c r="V108">
        <f t="shared" si="9"/>
        <v>97269.807143271435</v>
      </c>
    </row>
    <row r="109" spans="1:22" ht="14.25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5">
        <f t="shared" si="0"/>
        <v>0</v>
      </c>
      <c r="N109" s="5">
        <f t="shared" si="1"/>
        <v>0</v>
      </c>
      <c r="O109" s="5">
        <f t="shared" si="2"/>
        <v>0</v>
      </c>
      <c r="P109" s="5">
        <f t="shared" si="3"/>
        <v>0</v>
      </c>
      <c r="Q109" s="5">
        <f t="shared" si="4"/>
        <v>1</v>
      </c>
      <c r="R109" s="5">
        <f t="shared" si="5"/>
        <v>0</v>
      </c>
      <c r="S109" s="2">
        <v>127597.34</v>
      </c>
      <c r="T109" s="2">
        <v>665594.93999999994</v>
      </c>
      <c r="U109" s="12">
        <f t="shared" si="8"/>
        <v>627433.91313807433</v>
      </c>
      <c r="V109">
        <f t="shared" si="9"/>
        <v>38161.026861925609</v>
      </c>
    </row>
    <row r="110" spans="1:22" ht="14.25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5">
        <f t="shared" si="0"/>
        <v>0</v>
      </c>
      <c r="N110" s="5">
        <f t="shared" si="1"/>
        <v>0</v>
      </c>
      <c r="O110" s="5">
        <f t="shared" si="2"/>
        <v>1</v>
      </c>
      <c r="P110" s="5">
        <f t="shared" si="3"/>
        <v>1</v>
      </c>
      <c r="Q110" s="5">
        <f t="shared" si="4"/>
        <v>0</v>
      </c>
      <c r="R110" s="5">
        <f t="shared" si="5"/>
        <v>0</v>
      </c>
      <c r="S110" s="2">
        <v>71294.27</v>
      </c>
      <c r="T110" s="2">
        <v>709478.39</v>
      </c>
      <c r="U110" s="12">
        <f t="shared" si="8"/>
        <v>721127.41130712326</v>
      </c>
      <c r="V110">
        <f t="shared" si="9"/>
        <v>-11649.021307123243</v>
      </c>
    </row>
    <row r="111" spans="1:22" ht="14.25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5">
        <f t="shared" si="0"/>
        <v>0</v>
      </c>
      <c r="N111" s="5">
        <f t="shared" si="1"/>
        <v>0</v>
      </c>
      <c r="O111" s="5">
        <f t="shared" si="2"/>
        <v>1</v>
      </c>
      <c r="P111" s="5">
        <f t="shared" si="3"/>
        <v>1</v>
      </c>
      <c r="Q111" s="5">
        <f t="shared" si="4"/>
        <v>0</v>
      </c>
      <c r="R111" s="5">
        <f t="shared" si="5"/>
        <v>0</v>
      </c>
      <c r="S111" s="2">
        <v>98291.06</v>
      </c>
      <c r="T111" s="2">
        <v>664162.49</v>
      </c>
      <c r="U111" s="12">
        <f t="shared" si="8"/>
        <v>708726.21395020862</v>
      </c>
      <c r="V111">
        <f t="shared" si="9"/>
        <v>-44563.72395020863</v>
      </c>
    </row>
    <row r="112" spans="1:22" ht="14.25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5">
        <f t="shared" si="0"/>
        <v>0</v>
      </c>
      <c r="N112" s="5">
        <f t="shared" si="1"/>
        <v>0</v>
      </c>
      <c r="O112" s="5">
        <f t="shared" si="2"/>
        <v>1</v>
      </c>
      <c r="P112" s="5">
        <f t="shared" si="3"/>
        <v>1</v>
      </c>
      <c r="Q112" s="5">
        <f t="shared" si="4"/>
        <v>0</v>
      </c>
      <c r="R112" s="5">
        <f t="shared" si="5"/>
        <v>0</v>
      </c>
      <c r="S112" s="2">
        <v>105739.47</v>
      </c>
      <c r="T112" s="2">
        <v>633494.21</v>
      </c>
      <c r="U112" s="12">
        <f t="shared" si="8"/>
        <v>669837.03684307763</v>
      </c>
      <c r="V112">
        <f t="shared" si="9"/>
        <v>-36342.826843077666</v>
      </c>
    </row>
    <row r="113" spans="1:22" ht="14.25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5">
        <f t="shared" si="0"/>
        <v>0</v>
      </c>
      <c r="N113" s="5">
        <f t="shared" si="1"/>
        <v>0</v>
      </c>
      <c r="O113" s="5">
        <f t="shared" si="2"/>
        <v>1</v>
      </c>
      <c r="P113" s="5">
        <f t="shared" si="3"/>
        <v>1</v>
      </c>
      <c r="Q113" s="5">
        <f t="shared" si="4"/>
        <v>0</v>
      </c>
      <c r="R113" s="5">
        <f t="shared" si="5"/>
        <v>0</v>
      </c>
      <c r="S113" s="2">
        <v>129717.18</v>
      </c>
      <c r="T113" s="2">
        <v>713611.16</v>
      </c>
      <c r="U113" s="12">
        <f t="shared" si="8"/>
        <v>673442.70025014214</v>
      </c>
      <c r="V113">
        <f t="shared" si="9"/>
        <v>40168.459749857895</v>
      </c>
    </row>
    <row r="114" spans="1:22" ht="14.25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5">
        <f t="shared" si="0"/>
        <v>0</v>
      </c>
      <c r="N114" s="5">
        <f t="shared" si="1"/>
        <v>0</v>
      </c>
      <c r="O114" s="5">
        <f t="shared" si="2"/>
        <v>0</v>
      </c>
      <c r="P114" s="5">
        <f t="shared" si="3"/>
        <v>1</v>
      </c>
      <c r="Q114" s="5">
        <f t="shared" si="4"/>
        <v>0</v>
      </c>
      <c r="R114" s="5">
        <f t="shared" si="5"/>
        <v>0</v>
      </c>
      <c r="S114" s="2">
        <v>120044.41</v>
      </c>
      <c r="T114" s="2">
        <v>778397.97</v>
      </c>
      <c r="U114" s="12">
        <f t="shared" si="8"/>
        <v>691807.31225250242</v>
      </c>
      <c r="V114">
        <f t="shared" si="9"/>
        <v>86590.657747497549</v>
      </c>
    </row>
    <row r="115" spans="1:22" ht="14.25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5">
        <f t="shared" si="0"/>
        <v>0</v>
      </c>
      <c r="N115" s="5">
        <f t="shared" si="1"/>
        <v>0</v>
      </c>
      <c r="O115" s="5">
        <f t="shared" si="2"/>
        <v>0</v>
      </c>
      <c r="P115" s="5">
        <f t="shared" si="3"/>
        <v>1</v>
      </c>
      <c r="Q115" s="5">
        <f t="shared" si="4"/>
        <v>0</v>
      </c>
      <c r="R115" s="5">
        <f t="shared" si="5"/>
        <v>0</v>
      </c>
      <c r="S115" s="2">
        <v>149734.76</v>
      </c>
      <c r="T115" s="2">
        <v>873380.02</v>
      </c>
      <c r="U115" s="12">
        <f t="shared" si="8"/>
        <v>731532.83055687579</v>
      </c>
      <c r="V115">
        <f t="shared" si="9"/>
        <v>141847.18944312423</v>
      </c>
    </row>
    <row r="116" spans="1:22" ht="14.25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5">
        <f t="shared" si="0"/>
        <v>0</v>
      </c>
      <c r="N116" s="5">
        <f t="shared" si="1"/>
        <v>0</v>
      </c>
      <c r="O116" s="5">
        <f t="shared" si="2"/>
        <v>0</v>
      </c>
      <c r="P116" s="5">
        <f t="shared" si="3"/>
        <v>1</v>
      </c>
      <c r="Q116" s="5">
        <f t="shared" si="4"/>
        <v>0</v>
      </c>
      <c r="R116" s="5">
        <f t="shared" si="5"/>
        <v>0</v>
      </c>
      <c r="S116" s="2">
        <v>128208.33</v>
      </c>
      <c r="T116" s="2">
        <v>697287.9</v>
      </c>
      <c r="U116" s="12">
        <f t="shared" si="8"/>
        <v>632864.35757052898</v>
      </c>
      <c r="V116">
        <f t="shared" si="9"/>
        <v>64423.542429471039</v>
      </c>
    </row>
    <row r="117" spans="1:22" ht="14.25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5">
        <f t="shared" si="0"/>
        <v>0</v>
      </c>
      <c r="N117" s="5">
        <f t="shared" si="1"/>
        <v>0</v>
      </c>
      <c r="O117" s="5">
        <f t="shared" si="2"/>
        <v>0</v>
      </c>
      <c r="P117" s="5">
        <f t="shared" si="3"/>
        <v>1</v>
      </c>
      <c r="Q117" s="5">
        <f t="shared" si="4"/>
        <v>0</v>
      </c>
      <c r="R117" s="5">
        <f t="shared" si="5"/>
        <v>0</v>
      </c>
      <c r="S117" s="2">
        <v>115819.87</v>
      </c>
      <c r="T117" s="2">
        <v>718074.79</v>
      </c>
      <c r="U117" s="12">
        <f t="shared" si="8"/>
        <v>616731.52125851193</v>
      </c>
      <c r="V117">
        <f t="shared" si="9"/>
        <v>101343.26874148811</v>
      </c>
    </row>
    <row r="118" spans="1:22" ht="14.25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5">
        <f t="shared" si="0"/>
        <v>0</v>
      </c>
      <c r="N118" s="5">
        <f t="shared" si="1"/>
        <v>0</v>
      </c>
      <c r="O118" s="5">
        <f t="shared" si="2"/>
        <v>0</v>
      </c>
      <c r="P118" s="5">
        <f t="shared" si="3"/>
        <v>0</v>
      </c>
      <c r="Q118" s="5">
        <f t="shared" si="4"/>
        <v>0</v>
      </c>
      <c r="R118" s="5">
        <f t="shared" si="5"/>
        <v>0</v>
      </c>
      <c r="S118" s="2">
        <v>94697.71</v>
      </c>
      <c r="T118" s="2">
        <v>714942.43</v>
      </c>
      <c r="U118" s="12">
        <f t="shared" si="8"/>
        <v>654220.36976699252</v>
      </c>
      <c r="V118">
        <f t="shared" si="9"/>
        <v>60722.060233007534</v>
      </c>
    </row>
    <row r="119" spans="1:22" ht="14.25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5">
        <f t="shared" si="0"/>
        <v>0</v>
      </c>
      <c r="N119" s="5">
        <f t="shared" si="1"/>
        <v>0</v>
      </c>
      <c r="O119" s="5">
        <f t="shared" si="2"/>
        <v>0</v>
      </c>
      <c r="P119" s="5">
        <f t="shared" si="3"/>
        <v>0</v>
      </c>
      <c r="Q119" s="5">
        <f t="shared" si="4"/>
        <v>0</v>
      </c>
      <c r="R119" s="5">
        <f t="shared" si="5"/>
        <v>0</v>
      </c>
      <c r="S119" s="2">
        <v>99035.88</v>
      </c>
      <c r="T119" s="2">
        <v>820519.04</v>
      </c>
      <c r="U119" s="12">
        <f t="shared" si="8"/>
        <v>683192.77546156407</v>
      </c>
      <c r="V119">
        <f t="shared" si="9"/>
        <v>137326.26453843596</v>
      </c>
    </row>
    <row r="120" spans="1:22" ht="14.25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5">
        <f t="shared" si="0"/>
        <v>0</v>
      </c>
      <c r="N120" s="5">
        <f t="shared" si="1"/>
        <v>0</v>
      </c>
      <c r="O120" s="5">
        <f t="shared" si="2"/>
        <v>0</v>
      </c>
      <c r="P120" s="5">
        <f t="shared" si="3"/>
        <v>0</v>
      </c>
      <c r="Q120" s="5">
        <f t="shared" si="4"/>
        <v>0</v>
      </c>
      <c r="R120" s="5">
        <f t="shared" si="5"/>
        <v>0</v>
      </c>
      <c r="S120" s="2">
        <v>136217.19</v>
      </c>
      <c r="T120" s="2">
        <v>684217.32</v>
      </c>
      <c r="U120" s="12">
        <f t="shared" si="8"/>
        <v>651530.37020295812</v>
      </c>
      <c r="V120">
        <f t="shared" si="9"/>
        <v>32686.949797041831</v>
      </c>
    </row>
    <row r="121" spans="1:22" ht="14.25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5">
        <f t="shared" si="0"/>
        <v>0</v>
      </c>
      <c r="N121" s="5">
        <f t="shared" si="1"/>
        <v>0</v>
      </c>
      <c r="O121" s="5">
        <f t="shared" si="2"/>
        <v>0</v>
      </c>
      <c r="P121" s="5">
        <f t="shared" si="3"/>
        <v>0</v>
      </c>
      <c r="Q121" s="5">
        <f t="shared" si="4"/>
        <v>0</v>
      </c>
      <c r="R121" s="5">
        <f t="shared" si="5"/>
        <v>0</v>
      </c>
      <c r="S121" s="2">
        <v>88342.11</v>
      </c>
      <c r="T121" s="2">
        <v>735480.19</v>
      </c>
      <c r="U121" s="12">
        <f t="shared" si="8"/>
        <v>678126.99485905073</v>
      </c>
      <c r="V121">
        <f t="shared" si="9"/>
        <v>57353.195140949218</v>
      </c>
    </row>
    <row r="122" spans="1:22" ht="14.25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5">
        <f t="shared" si="0"/>
        <v>1</v>
      </c>
      <c r="N122" s="5">
        <f t="shared" si="1"/>
        <v>0</v>
      </c>
      <c r="O122" s="5">
        <f t="shared" si="2"/>
        <v>0</v>
      </c>
      <c r="P122" s="5">
        <f t="shared" si="3"/>
        <v>0</v>
      </c>
      <c r="Q122" s="5">
        <f t="shared" si="4"/>
        <v>1</v>
      </c>
      <c r="R122" s="5">
        <f t="shared" si="5"/>
        <v>0</v>
      </c>
      <c r="S122" s="2">
        <v>85742.36</v>
      </c>
      <c r="T122" s="2">
        <v>509484.81</v>
      </c>
      <c r="U122" s="12">
        <f t="shared" si="8"/>
        <v>654667.3859271094</v>
      </c>
      <c r="V122">
        <f t="shared" si="9"/>
        <v>-145182.5759271094</v>
      </c>
    </row>
    <row r="123" spans="1:22" ht="14.25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5">
        <f t="shared" si="0"/>
        <v>1</v>
      </c>
      <c r="N123" s="5">
        <f t="shared" si="1"/>
        <v>0</v>
      </c>
      <c r="O123" s="5">
        <f t="shared" si="2"/>
        <v>0</v>
      </c>
      <c r="P123" s="5">
        <f t="shared" si="3"/>
        <v>0</v>
      </c>
      <c r="Q123" s="5">
        <f t="shared" si="4"/>
        <v>1</v>
      </c>
      <c r="R123" s="5">
        <f t="shared" si="5"/>
        <v>0</v>
      </c>
      <c r="S123" s="2">
        <v>121446.89</v>
      </c>
      <c r="T123" s="2">
        <v>654317.09</v>
      </c>
      <c r="U123" s="12">
        <f t="shared" si="8"/>
        <v>737608.78844335384</v>
      </c>
      <c r="V123">
        <f t="shared" si="9"/>
        <v>-83291.698443353875</v>
      </c>
    </row>
    <row r="124" spans="1:22" ht="14.25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5">
        <f t="shared" si="0"/>
        <v>1</v>
      </c>
      <c r="N124" s="5">
        <f t="shared" si="1"/>
        <v>0</v>
      </c>
      <c r="O124" s="5">
        <f t="shared" si="2"/>
        <v>0</v>
      </c>
      <c r="P124" s="5">
        <f t="shared" si="3"/>
        <v>0</v>
      </c>
      <c r="Q124" s="5">
        <f t="shared" si="4"/>
        <v>1</v>
      </c>
      <c r="R124" s="5">
        <f t="shared" si="5"/>
        <v>0</v>
      </c>
      <c r="S124" s="2">
        <v>76432.19</v>
      </c>
      <c r="T124" s="2">
        <v>557487.26</v>
      </c>
      <c r="U124" s="12">
        <f t="shared" si="8"/>
        <v>664201.35777660937</v>
      </c>
      <c r="V124">
        <f t="shared" si="9"/>
        <v>-106714.09777660936</v>
      </c>
    </row>
    <row r="125" spans="1:22" ht="14.25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5">
        <f t="shared" si="0"/>
        <v>1</v>
      </c>
      <c r="N125" s="5">
        <f t="shared" si="1"/>
        <v>0</v>
      </c>
      <c r="O125" s="5">
        <f t="shared" si="2"/>
        <v>0</v>
      </c>
      <c r="P125" s="5">
        <f t="shared" si="3"/>
        <v>0</v>
      </c>
      <c r="Q125" s="5">
        <f t="shared" si="4"/>
        <v>1</v>
      </c>
      <c r="R125" s="5">
        <f t="shared" si="5"/>
        <v>0</v>
      </c>
      <c r="S125" s="2">
        <v>58234.87</v>
      </c>
      <c r="T125" s="2">
        <v>441275.42</v>
      </c>
      <c r="U125" s="12">
        <f t="shared" si="8"/>
        <v>602055.43347189028</v>
      </c>
      <c r="V125">
        <f t="shared" si="9"/>
        <v>-160780.0134718903</v>
      </c>
    </row>
    <row r="126" spans="1:22" ht="14.25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5">
        <f t="shared" si="0"/>
        <v>0</v>
      </c>
      <c r="N126" s="5">
        <f t="shared" si="1"/>
        <v>1</v>
      </c>
      <c r="O126" s="5">
        <f t="shared" si="2"/>
        <v>0</v>
      </c>
      <c r="P126" s="5">
        <f t="shared" si="3"/>
        <v>0</v>
      </c>
      <c r="Q126" s="5">
        <f t="shared" si="4"/>
        <v>1</v>
      </c>
      <c r="R126" s="5">
        <f t="shared" si="5"/>
        <v>0</v>
      </c>
      <c r="S126" s="2">
        <v>79831.73</v>
      </c>
      <c r="T126" s="2">
        <v>914544.17</v>
      </c>
      <c r="U126" s="12">
        <f t="shared" si="8"/>
        <v>692051.31837203726</v>
      </c>
      <c r="V126">
        <f t="shared" si="9"/>
        <v>222492.85162796278</v>
      </c>
    </row>
    <row r="127" spans="1:22" ht="14.25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5">
        <f t="shared" si="0"/>
        <v>0</v>
      </c>
      <c r="N127" s="5">
        <f t="shared" si="1"/>
        <v>1</v>
      </c>
      <c r="O127" s="5">
        <f t="shared" si="2"/>
        <v>0</v>
      </c>
      <c r="P127" s="5">
        <f t="shared" si="3"/>
        <v>0</v>
      </c>
      <c r="Q127" s="5">
        <f t="shared" si="4"/>
        <v>1</v>
      </c>
      <c r="R127" s="5">
        <f t="shared" si="5"/>
        <v>0</v>
      </c>
      <c r="S127" s="2">
        <v>169983.63</v>
      </c>
      <c r="T127" s="2">
        <v>842439.67</v>
      </c>
      <c r="U127" s="12">
        <f t="shared" si="8"/>
        <v>656470.09051101701</v>
      </c>
      <c r="V127">
        <f t="shared" si="9"/>
        <v>185969.57948898303</v>
      </c>
    </row>
    <row r="128" spans="1:22" ht="14.25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5">
        <f t="shared" si="0"/>
        <v>0</v>
      </c>
      <c r="N128" s="5">
        <f t="shared" si="1"/>
        <v>1</v>
      </c>
      <c r="O128" s="5">
        <f t="shared" si="2"/>
        <v>0</v>
      </c>
      <c r="P128" s="5">
        <f t="shared" si="3"/>
        <v>0</v>
      </c>
      <c r="Q128" s="5">
        <f t="shared" si="4"/>
        <v>1</v>
      </c>
      <c r="R128" s="5">
        <f t="shared" si="5"/>
        <v>0</v>
      </c>
      <c r="S128" s="2">
        <v>107348.22</v>
      </c>
      <c r="T128" s="2">
        <v>842157.92</v>
      </c>
      <c r="U128" s="12">
        <f t="shared" si="8"/>
        <v>681408.63034285686</v>
      </c>
      <c r="V128">
        <f t="shared" si="9"/>
        <v>160749.28965714318</v>
      </c>
    </row>
    <row r="129" spans="1:22" ht="14.25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5">
        <f t="shared" si="0"/>
        <v>0</v>
      </c>
      <c r="N129" s="5">
        <f t="shared" si="1"/>
        <v>1</v>
      </c>
      <c r="O129" s="5">
        <f t="shared" si="2"/>
        <v>0</v>
      </c>
      <c r="P129" s="5">
        <f t="shared" si="3"/>
        <v>0</v>
      </c>
      <c r="Q129" s="5">
        <f t="shared" si="4"/>
        <v>1</v>
      </c>
      <c r="R129" s="5">
        <f t="shared" si="5"/>
        <v>0</v>
      </c>
      <c r="S129" s="2">
        <v>136408.54</v>
      </c>
      <c r="T129" s="2">
        <v>697155.3</v>
      </c>
      <c r="U129" s="12">
        <f t="shared" si="8"/>
        <v>641812.13845751353</v>
      </c>
      <c r="V129">
        <f t="shared" si="9"/>
        <v>55343.161542486516</v>
      </c>
    </row>
    <row r="130" spans="1:22" ht="14.25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5">
        <f t="shared" si="0"/>
        <v>0</v>
      </c>
      <c r="N130" s="5">
        <f t="shared" si="1"/>
        <v>0</v>
      </c>
      <c r="O130" s="5">
        <f t="shared" si="2"/>
        <v>1</v>
      </c>
      <c r="P130" s="5">
        <f t="shared" si="3"/>
        <v>0</v>
      </c>
      <c r="Q130" s="5">
        <f t="shared" si="4"/>
        <v>1</v>
      </c>
      <c r="R130" s="5">
        <f t="shared" si="5"/>
        <v>0</v>
      </c>
      <c r="S130" s="2">
        <v>149035.13</v>
      </c>
      <c r="T130" s="2">
        <v>849018.3</v>
      </c>
      <c r="U130" s="12">
        <f t="shared" si="8"/>
        <v>702028.76821876783</v>
      </c>
      <c r="V130">
        <f t="shared" si="9"/>
        <v>146989.53178123222</v>
      </c>
    </row>
    <row r="131" spans="1:22" ht="14.25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5">
        <f t="shared" si="0"/>
        <v>0</v>
      </c>
      <c r="N131" s="5">
        <f t="shared" si="1"/>
        <v>0</v>
      </c>
      <c r="O131" s="5">
        <f t="shared" si="2"/>
        <v>1</v>
      </c>
      <c r="P131" s="5">
        <f t="shared" si="3"/>
        <v>0</v>
      </c>
      <c r="Q131" s="5">
        <f t="shared" si="4"/>
        <v>1</v>
      </c>
      <c r="R131" s="5">
        <f t="shared" si="5"/>
        <v>0</v>
      </c>
      <c r="S131" s="2">
        <v>114875.32</v>
      </c>
      <c r="T131" s="2">
        <v>801830.35</v>
      </c>
      <c r="U131" s="12">
        <f t="shared" ref="U131:U194" si="10">561666.3931+(2.118660411*E131)</f>
        <v>706605.92217069224</v>
      </c>
      <c r="V131">
        <f t="shared" ref="V131:V194" si="11">T131-U131</f>
        <v>95224.427829307737</v>
      </c>
    </row>
    <row r="132" spans="1:22" ht="14.25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5">
        <f t="shared" si="0"/>
        <v>0</v>
      </c>
      <c r="N132" s="5">
        <f t="shared" si="1"/>
        <v>0</v>
      </c>
      <c r="O132" s="5">
        <f t="shared" si="2"/>
        <v>1</v>
      </c>
      <c r="P132" s="5">
        <f t="shared" si="3"/>
        <v>0</v>
      </c>
      <c r="Q132" s="5">
        <f t="shared" si="4"/>
        <v>1</v>
      </c>
      <c r="R132" s="5">
        <f t="shared" si="5"/>
        <v>0</v>
      </c>
      <c r="S132" s="2">
        <v>121632.24</v>
      </c>
      <c r="T132" s="2">
        <v>725235.28</v>
      </c>
      <c r="U132" s="12">
        <f t="shared" si="10"/>
        <v>669157.96380814398</v>
      </c>
      <c r="V132">
        <f t="shared" si="11"/>
        <v>56077.316191856051</v>
      </c>
    </row>
    <row r="133" spans="1:22" ht="14.25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5">
        <f t="shared" si="0"/>
        <v>0</v>
      </c>
      <c r="N133" s="5">
        <f t="shared" si="1"/>
        <v>0</v>
      </c>
      <c r="O133" s="5">
        <f t="shared" si="2"/>
        <v>1</v>
      </c>
      <c r="P133" s="5">
        <f t="shared" si="3"/>
        <v>0</v>
      </c>
      <c r="Q133" s="5">
        <f t="shared" si="4"/>
        <v>1</v>
      </c>
      <c r="R133" s="5">
        <f t="shared" si="5"/>
        <v>0</v>
      </c>
      <c r="S133" s="2">
        <v>131325.67000000001</v>
      </c>
      <c r="T133" s="2">
        <v>811452.72</v>
      </c>
      <c r="U133" s="12">
        <f t="shared" si="10"/>
        <v>702463.66564133379</v>
      </c>
      <c r="V133">
        <f t="shared" si="11"/>
        <v>108989.05435866618</v>
      </c>
    </row>
    <row r="134" spans="1:22" ht="14.25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5">
        <f t="shared" si="0"/>
        <v>1</v>
      </c>
      <c r="N134" s="5">
        <f t="shared" si="1"/>
        <v>0</v>
      </c>
      <c r="O134" s="5">
        <f t="shared" si="2"/>
        <v>0</v>
      </c>
      <c r="P134" s="5">
        <f t="shared" si="3"/>
        <v>0</v>
      </c>
      <c r="Q134" s="5">
        <f t="shared" si="4"/>
        <v>1</v>
      </c>
      <c r="R134" s="5">
        <f t="shared" si="5"/>
        <v>0</v>
      </c>
      <c r="S134" s="2">
        <v>84197.87</v>
      </c>
      <c r="T134" s="2">
        <v>527300.13</v>
      </c>
      <c r="U134" s="12">
        <f t="shared" si="10"/>
        <v>710557.96536835108</v>
      </c>
      <c r="V134">
        <f t="shared" si="11"/>
        <v>-183257.83536835108</v>
      </c>
    </row>
    <row r="135" spans="1:22" ht="14.25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4">
        <v>3.9</v>
      </c>
      <c r="M135" s="5">
        <f t="shared" si="0"/>
        <v>1</v>
      </c>
      <c r="N135" s="5">
        <f t="shared" si="1"/>
        <v>0</v>
      </c>
      <c r="O135" s="5">
        <f t="shared" si="2"/>
        <v>0</v>
      </c>
      <c r="P135" s="5">
        <f t="shared" si="3"/>
        <v>0</v>
      </c>
      <c r="Q135" s="5">
        <f t="shared" si="4"/>
        <v>1</v>
      </c>
      <c r="R135" s="5">
        <f t="shared" si="5"/>
        <v>0</v>
      </c>
      <c r="S135" s="2">
        <v>70979.31</v>
      </c>
      <c r="T135" s="2">
        <v>400831.65</v>
      </c>
      <c r="U135" s="12">
        <f t="shared" si="10"/>
        <v>608428.70297384402</v>
      </c>
      <c r="V135">
        <f t="shared" si="11"/>
        <v>-207597.05297384399</v>
      </c>
    </row>
    <row r="136" spans="1:22" ht="14.25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5">
        <f t="shared" si="0"/>
        <v>1</v>
      </c>
      <c r="N136" s="5">
        <f t="shared" si="1"/>
        <v>0</v>
      </c>
      <c r="O136" s="5">
        <f t="shared" si="2"/>
        <v>0</v>
      </c>
      <c r="P136" s="5">
        <f t="shared" si="3"/>
        <v>0</v>
      </c>
      <c r="Q136" s="5">
        <f t="shared" si="4"/>
        <v>1</v>
      </c>
      <c r="R136" s="5">
        <f t="shared" si="5"/>
        <v>0</v>
      </c>
      <c r="S136" s="2">
        <v>81240.289999999994</v>
      </c>
      <c r="T136" s="2">
        <v>593247.25</v>
      </c>
      <c r="U136" s="12">
        <f t="shared" si="10"/>
        <v>672441.50608631992</v>
      </c>
      <c r="V136">
        <f t="shared" si="11"/>
        <v>-79194.256086319918</v>
      </c>
    </row>
    <row r="137" spans="1:22" ht="14.25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5">
        <f t="shared" si="0"/>
        <v>1</v>
      </c>
      <c r="N137" s="5">
        <f t="shared" si="1"/>
        <v>0</v>
      </c>
      <c r="O137" s="5">
        <f t="shared" si="2"/>
        <v>0</v>
      </c>
      <c r="P137" s="5">
        <f t="shared" si="3"/>
        <v>0</v>
      </c>
      <c r="Q137" s="5">
        <f t="shared" si="4"/>
        <v>1</v>
      </c>
      <c r="R137" s="5">
        <f t="shared" si="5"/>
        <v>0</v>
      </c>
      <c r="S137" s="2">
        <v>95978.83</v>
      </c>
      <c r="T137" s="2">
        <v>529075.94999999995</v>
      </c>
      <c r="U137" s="12">
        <f t="shared" si="10"/>
        <v>710749.66176233836</v>
      </c>
      <c r="V137">
        <f t="shared" si="11"/>
        <v>-181673.71176233841</v>
      </c>
    </row>
    <row r="138" spans="1:22" ht="14.25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4">
        <v>3.9</v>
      </c>
      <c r="M138" s="5">
        <f t="shared" si="0"/>
        <v>0</v>
      </c>
      <c r="N138" s="5">
        <f t="shared" si="1"/>
        <v>1</v>
      </c>
      <c r="O138" s="5">
        <f t="shared" si="2"/>
        <v>0</v>
      </c>
      <c r="P138" s="5">
        <f t="shared" si="3"/>
        <v>0</v>
      </c>
      <c r="Q138" s="5">
        <f t="shared" si="4"/>
        <v>0</v>
      </c>
      <c r="R138" s="5">
        <f t="shared" si="5"/>
        <v>0</v>
      </c>
      <c r="S138" s="2">
        <v>99402.01</v>
      </c>
      <c r="T138" s="2">
        <v>633638.03</v>
      </c>
      <c r="U138" s="12">
        <f t="shared" si="10"/>
        <v>712770.65192839131</v>
      </c>
      <c r="V138">
        <f t="shared" si="11"/>
        <v>-79132.62192839128</v>
      </c>
    </row>
    <row r="139" spans="1:22" ht="14.25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5">
        <f t="shared" si="0"/>
        <v>0</v>
      </c>
      <c r="N139" s="5">
        <f t="shared" si="1"/>
        <v>1</v>
      </c>
      <c r="O139" s="5">
        <f t="shared" si="2"/>
        <v>0</v>
      </c>
      <c r="P139" s="5">
        <f t="shared" si="3"/>
        <v>0</v>
      </c>
      <c r="Q139" s="5">
        <f t="shared" si="4"/>
        <v>0</v>
      </c>
      <c r="R139" s="5">
        <f t="shared" si="5"/>
        <v>0</v>
      </c>
      <c r="S139" s="2">
        <v>104186.09</v>
      </c>
      <c r="T139" s="2">
        <v>743348.84</v>
      </c>
      <c r="U139" s="12">
        <f t="shared" si="10"/>
        <v>720798.27741227439</v>
      </c>
      <c r="V139">
        <f t="shared" si="11"/>
        <v>22550.562587725581</v>
      </c>
    </row>
    <row r="140" spans="1:22" ht="14.25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5">
        <f t="shared" si="0"/>
        <v>0</v>
      </c>
      <c r="N140" s="5">
        <f t="shared" si="1"/>
        <v>1</v>
      </c>
      <c r="O140" s="5">
        <f t="shared" si="2"/>
        <v>0</v>
      </c>
      <c r="P140" s="5">
        <f t="shared" si="3"/>
        <v>0</v>
      </c>
      <c r="Q140" s="5">
        <f t="shared" si="4"/>
        <v>0</v>
      </c>
      <c r="R140" s="5">
        <f t="shared" si="5"/>
        <v>0</v>
      </c>
      <c r="S140" s="2">
        <v>161439.48000000001</v>
      </c>
      <c r="T140" s="2">
        <v>758827.64</v>
      </c>
      <c r="U140" s="12">
        <f t="shared" si="10"/>
        <v>709504.39791916893</v>
      </c>
      <c r="V140">
        <f t="shared" si="11"/>
        <v>49323.242080831085</v>
      </c>
    </row>
    <row r="141" spans="1:22" ht="14.25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5">
        <f t="shared" si="0"/>
        <v>0</v>
      </c>
      <c r="N141" s="5">
        <f t="shared" si="1"/>
        <v>1</v>
      </c>
      <c r="O141" s="5">
        <f t="shared" si="2"/>
        <v>0</v>
      </c>
      <c r="P141" s="5">
        <f t="shared" si="3"/>
        <v>0</v>
      </c>
      <c r="Q141" s="5">
        <f t="shared" si="4"/>
        <v>0</v>
      </c>
      <c r="R141" s="5">
        <f t="shared" si="5"/>
        <v>0</v>
      </c>
      <c r="S141" s="2">
        <v>97981.75</v>
      </c>
      <c r="T141" s="2">
        <v>646559.71</v>
      </c>
      <c r="U141" s="12">
        <f t="shared" si="10"/>
        <v>655336.50125811144</v>
      </c>
      <c r="V141">
        <f t="shared" si="11"/>
        <v>-8776.7912581114797</v>
      </c>
    </row>
    <row r="142" spans="1:22" ht="14.25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5">
        <f t="shared" si="0"/>
        <v>0</v>
      </c>
      <c r="N142" s="5">
        <f t="shared" si="1"/>
        <v>0</v>
      </c>
      <c r="O142" s="5">
        <f t="shared" si="2"/>
        <v>0</v>
      </c>
      <c r="P142" s="5">
        <f t="shared" si="3"/>
        <v>0</v>
      </c>
      <c r="Q142" s="5">
        <f t="shared" si="4"/>
        <v>1</v>
      </c>
      <c r="R142" s="5">
        <f t="shared" si="5"/>
        <v>0</v>
      </c>
      <c r="S142" s="2">
        <v>109032.15</v>
      </c>
      <c r="T142" s="2">
        <v>715890.53</v>
      </c>
      <c r="U142" s="12">
        <f t="shared" si="10"/>
        <v>670629.75482245744</v>
      </c>
      <c r="V142">
        <f t="shared" si="11"/>
        <v>45260.775177542586</v>
      </c>
    </row>
    <row r="143" spans="1:22" ht="14.25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5">
        <f t="shared" si="0"/>
        <v>0</v>
      </c>
      <c r="N143" s="5">
        <f t="shared" si="1"/>
        <v>0</v>
      </c>
      <c r="O143" s="5">
        <f t="shared" si="2"/>
        <v>0</v>
      </c>
      <c r="P143" s="5">
        <f t="shared" si="3"/>
        <v>0</v>
      </c>
      <c r="Q143" s="5">
        <f t="shared" si="4"/>
        <v>1</v>
      </c>
      <c r="R143" s="5">
        <f t="shared" si="5"/>
        <v>0</v>
      </c>
      <c r="S143" s="2">
        <v>151875.85999999999</v>
      </c>
      <c r="T143" s="2">
        <v>715097.57</v>
      </c>
      <c r="U143" s="12">
        <f t="shared" si="10"/>
        <v>658502.92398876743</v>
      </c>
      <c r="V143">
        <f t="shared" si="11"/>
        <v>56594.646011232515</v>
      </c>
    </row>
    <row r="144" spans="1:22" ht="14.25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5">
        <f t="shared" si="0"/>
        <v>0</v>
      </c>
      <c r="N144" s="5">
        <f t="shared" si="1"/>
        <v>0</v>
      </c>
      <c r="O144" s="5">
        <f t="shared" si="2"/>
        <v>0</v>
      </c>
      <c r="P144" s="5">
        <f t="shared" si="3"/>
        <v>0</v>
      </c>
      <c r="Q144" s="5">
        <f t="shared" si="4"/>
        <v>1</v>
      </c>
      <c r="R144" s="5">
        <f t="shared" si="5"/>
        <v>0</v>
      </c>
      <c r="S144" s="2">
        <v>77557.53</v>
      </c>
      <c r="T144" s="2">
        <v>682639.28</v>
      </c>
      <c r="U144" s="12">
        <f t="shared" si="10"/>
        <v>654960.75683422061</v>
      </c>
      <c r="V144">
        <f t="shared" si="11"/>
        <v>27678.523165779421</v>
      </c>
    </row>
    <row r="145" spans="1:22" ht="14.25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5">
        <f t="shared" si="0"/>
        <v>0</v>
      </c>
      <c r="N145" s="5">
        <f t="shared" si="1"/>
        <v>0</v>
      </c>
      <c r="O145" s="5">
        <f t="shared" si="2"/>
        <v>0</v>
      </c>
      <c r="P145" s="5">
        <f t="shared" si="3"/>
        <v>0</v>
      </c>
      <c r="Q145" s="5">
        <f t="shared" si="4"/>
        <v>1</v>
      </c>
      <c r="R145" s="5">
        <f t="shared" si="5"/>
        <v>0</v>
      </c>
      <c r="S145" s="2">
        <v>108192.75</v>
      </c>
      <c r="T145" s="2">
        <v>695098.51</v>
      </c>
      <c r="U145" s="12">
        <f t="shared" si="10"/>
        <v>668019.16265062732</v>
      </c>
      <c r="V145">
        <f t="shared" si="11"/>
        <v>27079.347349372692</v>
      </c>
    </row>
    <row r="146" spans="1:22" ht="14.25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5">
        <f t="shared" si="0"/>
        <v>1</v>
      </c>
      <c r="N146" s="5">
        <f t="shared" si="1"/>
        <v>0</v>
      </c>
      <c r="O146" s="5">
        <f t="shared" si="2"/>
        <v>0</v>
      </c>
      <c r="P146" s="5">
        <f t="shared" si="3"/>
        <v>0</v>
      </c>
      <c r="Q146" s="5">
        <f t="shared" si="4"/>
        <v>0</v>
      </c>
      <c r="R146" s="5">
        <f t="shared" si="5"/>
        <v>0</v>
      </c>
      <c r="S146" s="2">
        <v>93804.27</v>
      </c>
      <c r="T146" s="2">
        <v>577732.56999999995</v>
      </c>
      <c r="U146" s="12">
        <f t="shared" si="10"/>
        <v>711006.95188265014</v>
      </c>
      <c r="V146">
        <f t="shared" si="11"/>
        <v>-133274.3818826502</v>
      </c>
    </row>
    <row r="147" spans="1:22" ht="14.25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5">
        <f t="shared" si="0"/>
        <v>1</v>
      </c>
      <c r="N147" s="5">
        <f t="shared" si="1"/>
        <v>0</v>
      </c>
      <c r="O147" s="5">
        <f t="shared" si="2"/>
        <v>0</v>
      </c>
      <c r="P147" s="5">
        <f t="shared" si="3"/>
        <v>0</v>
      </c>
      <c r="Q147" s="5">
        <f t="shared" si="4"/>
        <v>0</v>
      </c>
      <c r="R147" s="5">
        <f t="shared" si="5"/>
        <v>0</v>
      </c>
      <c r="S147" s="2">
        <v>93555.71</v>
      </c>
      <c r="T147" s="2">
        <v>537058.32999999996</v>
      </c>
      <c r="U147" s="12">
        <f t="shared" si="10"/>
        <v>669525.84800190991</v>
      </c>
      <c r="V147">
        <f t="shared" si="11"/>
        <v>-132467.51800190995</v>
      </c>
    </row>
    <row r="148" spans="1:22" ht="14.25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5">
        <f t="shared" si="0"/>
        <v>1</v>
      </c>
      <c r="N148" s="5">
        <f t="shared" si="1"/>
        <v>0</v>
      </c>
      <c r="O148" s="5">
        <f t="shared" si="2"/>
        <v>0</v>
      </c>
      <c r="P148" s="5">
        <f t="shared" si="3"/>
        <v>0</v>
      </c>
      <c r="Q148" s="5">
        <f t="shared" si="4"/>
        <v>0</v>
      </c>
      <c r="R148" s="5">
        <f t="shared" si="5"/>
        <v>0</v>
      </c>
      <c r="S148" s="2">
        <v>91634.82</v>
      </c>
      <c r="T148" s="2">
        <v>601568.87</v>
      </c>
      <c r="U148" s="12">
        <f t="shared" si="10"/>
        <v>674700.52774954867</v>
      </c>
      <c r="V148">
        <f t="shared" si="11"/>
        <v>-73131.657749548671</v>
      </c>
    </row>
    <row r="149" spans="1:22" ht="14.25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5">
        <f t="shared" si="0"/>
        <v>1</v>
      </c>
      <c r="N149" s="5">
        <f t="shared" si="1"/>
        <v>0</v>
      </c>
      <c r="O149" s="5">
        <f t="shared" si="2"/>
        <v>0</v>
      </c>
      <c r="P149" s="5">
        <f t="shared" si="3"/>
        <v>0</v>
      </c>
      <c r="Q149" s="5">
        <f t="shared" si="4"/>
        <v>0</v>
      </c>
      <c r="R149" s="5">
        <f t="shared" si="5"/>
        <v>0</v>
      </c>
      <c r="S149" s="2">
        <v>81331.070000000007</v>
      </c>
      <c r="T149" s="2">
        <v>570964.84</v>
      </c>
      <c r="U149" s="12">
        <f t="shared" si="10"/>
        <v>689469.07387650642</v>
      </c>
      <c r="V149">
        <f t="shared" si="11"/>
        <v>-118504.23387650645</v>
      </c>
    </row>
    <row r="150" spans="1:22" ht="14.25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5">
        <f t="shared" si="0"/>
        <v>0</v>
      </c>
      <c r="N150" s="5">
        <f t="shared" si="1"/>
        <v>1</v>
      </c>
      <c r="O150" s="5">
        <f t="shared" si="2"/>
        <v>0</v>
      </c>
      <c r="P150" s="5">
        <f t="shared" si="3"/>
        <v>1</v>
      </c>
      <c r="Q150" s="5">
        <f t="shared" si="4"/>
        <v>0</v>
      </c>
      <c r="R150" s="5">
        <f t="shared" si="5"/>
        <v>0</v>
      </c>
      <c r="S150" s="2">
        <v>84828.93</v>
      </c>
      <c r="T150" s="2">
        <v>614024.91</v>
      </c>
      <c r="U150" s="12">
        <f t="shared" si="10"/>
        <v>670937.74448640447</v>
      </c>
      <c r="V150">
        <f t="shared" si="11"/>
        <v>-56912.834486404434</v>
      </c>
    </row>
    <row r="151" spans="1:22" ht="14.25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5">
        <f t="shared" si="0"/>
        <v>0</v>
      </c>
      <c r="N151" s="5">
        <f t="shared" si="1"/>
        <v>1</v>
      </c>
      <c r="O151" s="5">
        <f t="shared" si="2"/>
        <v>0</v>
      </c>
      <c r="P151" s="5">
        <f t="shared" si="3"/>
        <v>1</v>
      </c>
      <c r="Q151" s="5">
        <f t="shared" si="4"/>
        <v>0</v>
      </c>
      <c r="R151" s="5">
        <f t="shared" si="5"/>
        <v>0</v>
      </c>
      <c r="S151" s="2">
        <v>133650.51</v>
      </c>
      <c r="T151" s="2">
        <v>712868.35</v>
      </c>
      <c r="U151" s="12">
        <f t="shared" si="10"/>
        <v>653446.63498489535</v>
      </c>
      <c r="V151">
        <f t="shared" si="11"/>
        <v>59421.715015104623</v>
      </c>
    </row>
    <row r="152" spans="1:22" ht="14.25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5">
        <f t="shared" si="0"/>
        <v>0</v>
      </c>
      <c r="N152" s="5">
        <f t="shared" si="1"/>
        <v>1</v>
      </c>
      <c r="O152" s="5">
        <f t="shared" si="2"/>
        <v>0</v>
      </c>
      <c r="P152" s="5">
        <f t="shared" si="3"/>
        <v>1</v>
      </c>
      <c r="Q152" s="5">
        <f t="shared" si="4"/>
        <v>0</v>
      </c>
      <c r="R152" s="5">
        <f t="shared" si="5"/>
        <v>0</v>
      </c>
      <c r="S152" s="2">
        <v>152230.09</v>
      </c>
      <c r="T152" s="2">
        <v>696744.15</v>
      </c>
      <c r="U152" s="12">
        <f t="shared" si="10"/>
        <v>661441.63309844909</v>
      </c>
      <c r="V152">
        <f t="shared" si="11"/>
        <v>35302.516901550931</v>
      </c>
    </row>
    <row r="153" spans="1:22" ht="14.25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5">
        <f t="shared" si="0"/>
        <v>0</v>
      </c>
      <c r="N153" s="5">
        <f t="shared" si="1"/>
        <v>1</v>
      </c>
      <c r="O153" s="5">
        <f t="shared" si="2"/>
        <v>0</v>
      </c>
      <c r="P153" s="5">
        <f t="shared" si="3"/>
        <v>1</v>
      </c>
      <c r="Q153" s="5">
        <f t="shared" si="4"/>
        <v>0</v>
      </c>
      <c r="R153" s="5">
        <f t="shared" si="5"/>
        <v>0</v>
      </c>
      <c r="S153" s="2">
        <v>122698.73</v>
      </c>
      <c r="T153" s="2">
        <v>725847.99</v>
      </c>
      <c r="U153" s="12">
        <f t="shared" si="10"/>
        <v>713902.92761184194</v>
      </c>
      <c r="V153">
        <f t="shared" si="11"/>
        <v>11945.062388158054</v>
      </c>
    </row>
    <row r="154" spans="1:22" ht="14.25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5">
        <f t="shared" si="0"/>
        <v>0</v>
      </c>
      <c r="N154" s="5">
        <f t="shared" si="1"/>
        <v>0</v>
      </c>
      <c r="O154" s="5">
        <f t="shared" si="2"/>
        <v>1</v>
      </c>
      <c r="P154" s="5">
        <f t="shared" si="3"/>
        <v>0</v>
      </c>
      <c r="Q154" s="5">
        <f t="shared" si="4"/>
        <v>1</v>
      </c>
      <c r="R154" s="5">
        <f t="shared" si="5"/>
        <v>0</v>
      </c>
      <c r="S154" s="2">
        <v>110726.44</v>
      </c>
      <c r="T154" s="2">
        <v>785028.25</v>
      </c>
      <c r="U154" s="12">
        <f t="shared" si="10"/>
        <v>721932.94718198944</v>
      </c>
      <c r="V154">
        <f t="shared" si="11"/>
        <v>63095.302818010561</v>
      </c>
    </row>
    <row r="155" spans="1:22" ht="14.25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5">
        <f t="shared" si="0"/>
        <v>0</v>
      </c>
      <c r="N155" s="5">
        <f t="shared" si="1"/>
        <v>0</v>
      </c>
      <c r="O155" s="5">
        <f t="shared" si="2"/>
        <v>1</v>
      </c>
      <c r="P155" s="5">
        <f t="shared" si="3"/>
        <v>0</v>
      </c>
      <c r="Q155" s="5">
        <f t="shared" si="4"/>
        <v>1</v>
      </c>
      <c r="R155" s="5">
        <f t="shared" si="5"/>
        <v>0</v>
      </c>
      <c r="S155" s="2">
        <v>117319.32</v>
      </c>
      <c r="T155" s="2">
        <v>698492.67</v>
      </c>
      <c r="U155" s="12">
        <f t="shared" si="10"/>
        <v>698054.62739302218</v>
      </c>
      <c r="V155">
        <f t="shared" si="11"/>
        <v>438.04260697786231</v>
      </c>
    </row>
    <row r="156" spans="1:22" ht="14.25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5">
        <f t="shared" si="0"/>
        <v>0</v>
      </c>
      <c r="N156" s="5">
        <f t="shared" si="1"/>
        <v>0</v>
      </c>
      <c r="O156" s="5">
        <f t="shared" si="2"/>
        <v>1</v>
      </c>
      <c r="P156" s="5">
        <f t="shared" si="3"/>
        <v>0</v>
      </c>
      <c r="Q156" s="5">
        <f t="shared" si="4"/>
        <v>1</v>
      </c>
      <c r="R156" s="5">
        <f t="shared" si="5"/>
        <v>0</v>
      </c>
      <c r="S156" s="2">
        <v>128736.18</v>
      </c>
      <c r="T156" s="2">
        <v>685830.24</v>
      </c>
      <c r="U156" s="12">
        <f t="shared" si="10"/>
        <v>691823.83780370816</v>
      </c>
      <c r="V156">
        <f t="shared" si="11"/>
        <v>-5993.5978037081659</v>
      </c>
    </row>
    <row r="157" spans="1:22" ht="14.25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5">
        <f t="shared" si="0"/>
        <v>0</v>
      </c>
      <c r="N157" s="5">
        <f t="shared" si="1"/>
        <v>0</v>
      </c>
      <c r="O157" s="5">
        <f t="shared" si="2"/>
        <v>1</v>
      </c>
      <c r="P157" s="5">
        <f t="shared" si="3"/>
        <v>0</v>
      </c>
      <c r="Q157" s="5">
        <f t="shared" si="4"/>
        <v>1</v>
      </c>
      <c r="R157" s="5">
        <f t="shared" si="5"/>
        <v>0</v>
      </c>
      <c r="S157" s="2">
        <v>112829.29</v>
      </c>
      <c r="T157" s="2">
        <v>702318.94</v>
      </c>
      <c r="U157" s="12">
        <f t="shared" si="10"/>
        <v>652129.2519413355</v>
      </c>
      <c r="V157">
        <f t="shared" si="11"/>
        <v>50189.68805866444</v>
      </c>
    </row>
    <row r="158" spans="1:22" ht="14.25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5">
        <f t="shared" si="0"/>
        <v>1</v>
      </c>
      <c r="N158" s="5">
        <f t="shared" si="1"/>
        <v>0</v>
      </c>
      <c r="O158" s="5">
        <f t="shared" si="2"/>
        <v>0</v>
      </c>
      <c r="P158" s="5">
        <f t="shared" si="3"/>
        <v>1</v>
      </c>
      <c r="Q158" s="5">
        <f t="shared" si="4"/>
        <v>0</v>
      </c>
      <c r="R158" s="5">
        <f t="shared" si="5"/>
        <v>0</v>
      </c>
      <c r="S158" s="2">
        <v>123707.58</v>
      </c>
      <c r="T158" s="2">
        <v>700078.32</v>
      </c>
      <c r="U158" s="12">
        <f t="shared" si="10"/>
        <v>745742.62237364042</v>
      </c>
      <c r="V158">
        <f t="shared" si="11"/>
        <v>-45664.302373640472</v>
      </c>
    </row>
    <row r="159" spans="1:22" ht="14.25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5">
        <f t="shared" si="0"/>
        <v>1</v>
      </c>
      <c r="N159" s="5">
        <f t="shared" si="1"/>
        <v>0</v>
      </c>
      <c r="O159" s="5">
        <f t="shared" si="2"/>
        <v>0</v>
      </c>
      <c r="P159" s="5">
        <f t="shared" si="3"/>
        <v>1</v>
      </c>
      <c r="Q159" s="5">
        <f t="shared" si="4"/>
        <v>0</v>
      </c>
      <c r="R159" s="5">
        <f t="shared" si="5"/>
        <v>0</v>
      </c>
      <c r="S159" s="2">
        <v>110453.28</v>
      </c>
      <c r="T159" s="2">
        <v>602002.31999999995</v>
      </c>
      <c r="U159" s="12">
        <f t="shared" si="10"/>
        <v>650360.04337852588</v>
      </c>
      <c r="V159">
        <f t="shared" si="11"/>
        <v>-48357.72337852593</v>
      </c>
    </row>
    <row r="160" spans="1:22" ht="14.25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5">
        <f t="shared" si="0"/>
        <v>1</v>
      </c>
      <c r="N160" s="5">
        <f t="shared" si="1"/>
        <v>0</v>
      </c>
      <c r="O160" s="5">
        <f t="shared" si="2"/>
        <v>0</v>
      </c>
      <c r="P160" s="5">
        <f t="shared" si="3"/>
        <v>1</v>
      </c>
      <c r="Q160" s="5">
        <f t="shared" si="4"/>
        <v>0</v>
      </c>
      <c r="R160" s="5">
        <f t="shared" si="5"/>
        <v>0</v>
      </c>
      <c r="S160" s="2">
        <v>100627.56</v>
      </c>
      <c r="T160" s="2">
        <v>724216.07</v>
      </c>
      <c r="U160" s="12">
        <f t="shared" si="10"/>
        <v>682256.64535896375</v>
      </c>
      <c r="V160">
        <f t="shared" si="11"/>
        <v>41959.424641036196</v>
      </c>
    </row>
    <row r="161" spans="1:22" ht="14.25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5">
        <f t="shared" si="0"/>
        <v>1</v>
      </c>
      <c r="N161" s="5">
        <f t="shared" si="1"/>
        <v>0</v>
      </c>
      <c r="O161" s="5">
        <f t="shared" si="2"/>
        <v>0</v>
      </c>
      <c r="P161" s="5">
        <f t="shared" si="3"/>
        <v>1</v>
      </c>
      <c r="Q161" s="5">
        <f t="shared" si="4"/>
        <v>0</v>
      </c>
      <c r="R161" s="5">
        <f t="shared" si="5"/>
        <v>0</v>
      </c>
      <c r="S161" s="2">
        <v>72303.850000000006</v>
      </c>
      <c r="T161" s="2">
        <v>620973.03</v>
      </c>
      <c r="U161" s="12">
        <f t="shared" si="10"/>
        <v>610934.9299338283</v>
      </c>
      <c r="V161">
        <f t="shared" si="11"/>
        <v>10038.100066171726</v>
      </c>
    </row>
    <row r="162" spans="1:22" ht="14.25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5">
        <f t="shared" si="0"/>
        <v>0</v>
      </c>
      <c r="N162" s="5">
        <f t="shared" si="1"/>
        <v>1</v>
      </c>
      <c r="O162" s="5">
        <f t="shared" si="2"/>
        <v>0</v>
      </c>
      <c r="P162" s="5">
        <f t="shared" si="3"/>
        <v>0</v>
      </c>
      <c r="Q162" s="5">
        <f t="shared" si="4"/>
        <v>1</v>
      </c>
      <c r="R162" s="5">
        <f t="shared" si="5"/>
        <v>0</v>
      </c>
      <c r="S162" s="2">
        <v>109012.07</v>
      </c>
      <c r="T162" s="2">
        <v>650480.06000000006</v>
      </c>
      <c r="U162" s="12">
        <f t="shared" si="10"/>
        <v>649470.90516384155</v>
      </c>
      <c r="V162">
        <f t="shared" si="11"/>
        <v>1009.154836158501</v>
      </c>
    </row>
    <row r="163" spans="1:22" ht="14.25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5">
        <f t="shared" si="0"/>
        <v>0</v>
      </c>
      <c r="N163" s="5">
        <f t="shared" si="1"/>
        <v>1</v>
      </c>
      <c r="O163" s="5">
        <f t="shared" si="2"/>
        <v>0</v>
      </c>
      <c r="P163" s="5">
        <f t="shared" si="3"/>
        <v>0</v>
      </c>
      <c r="Q163" s="5">
        <f t="shared" si="4"/>
        <v>1</v>
      </c>
      <c r="R163" s="5">
        <f t="shared" si="5"/>
        <v>0</v>
      </c>
      <c r="S163" s="2">
        <v>130076.72</v>
      </c>
      <c r="T163" s="2">
        <v>778298.88</v>
      </c>
      <c r="U163" s="12">
        <f t="shared" si="10"/>
        <v>664291.86694936734</v>
      </c>
      <c r="V163">
        <f t="shared" si="11"/>
        <v>114007.01305063267</v>
      </c>
    </row>
    <row r="164" spans="1:22" ht="14.25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3.3650000000000002</v>
      </c>
      <c r="K164" s="2">
        <v>0</v>
      </c>
      <c r="L164" s="2">
        <v>4.2</v>
      </c>
      <c r="M164" s="5">
        <f t="shared" si="0"/>
        <v>0</v>
      </c>
      <c r="N164" s="5">
        <f t="shared" si="1"/>
        <v>1</v>
      </c>
      <c r="O164" s="5">
        <f t="shared" si="2"/>
        <v>0</v>
      </c>
      <c r="P164" s="5">
        <f t="shared" si="3"/>
        <v>0</v>
      </c>
      <c r="Q164" s="5">
        <f t="shared" si="4"/>
        <v>1</v>
      </c>
      <c r="R164" s="5">
        <f t="shared" si="5"/>
        <v>0</v>
      </c>
      <c r="S164" s="2">
        <v>97174.11</v>
      </c>
      <c r="T164" s="2">
        <v>677096.71</v>
      </c>
      <c r="U164" s="12">
        <f t="shared" si="10"/>
        <v>682733.64056389628</v>
      </c>
      <c r="V164">
        <f t="shared" si="11"/>
        <v>-5636.9305638963124</v>
      </c>
    </row>
    <row r="165" spans="1:22" ht="14.25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5">
        <f t="shared" si="0"/>
        <v>0</v>
      </c>
      <c r="N165" s="5">
        <f t="shared" si="1"/>
        <v>1</v>
      </c>
      <c r="O165" s="5">
        <f t="shared" si="2"/>
        <v>0</v>
      </c>
      <c r="P165" s="5">
        <f t="shared" si="3"/>
        <v>0</v>
      </c>
      <c r="Q165" s="5">
        <f t="shared" si="4"/>
        <v>1</v>
      </c>
      <c r="R165" s="5">
        <f t="shared" si="5"/>
        <v>0</v>
      </c>
      <c r="S165" s="2">
        <v>116337.87</v>
      </c>
      <c r="T165" s="2">
        <v>692008.64</v>
      </c>
      <c r="U165" s="12">
        <f t="shared" si="10"/>
        <v>703342.52835302474</v>
      </c>
      <c r="V165">
        <f t="shared" si="11"/>
        <v>-11333.888353024726</v>
      </c>
    </row>
    <row r="166" spans="1:22" ht="14.25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5">
        <f t="shared" si="0"/>
        <v>1</v>
      </c>
      <c r="N166" s="5">
        <f t="shared" si="1"/>
        <v>0</v>
      </c>
      <c r="O166" s="5">
        <f t="shared" si="2"/>
        <v>0</v>
      </c>
      <c r="P166" s="5">
        <f t="shared" si="3"/>
        <v>1</v>
      </c>
      <c r="Q166" s="5">
        <f t="shared" si="4"/>
        <v>0</v>
      </c>
      <c r="R166" s="5">
        <f t="shared" si="5"/>
        <v>0</v>
      </c>
      <c r="S166" s="2">
        <v>130945.24</v>
      </c>
      <c r="T166" s="2">
        <v>825797.91</v>
      </c>
      <c r="U166" s="12">
        <f t="shared" si="10"/>
        <v>714528.86464366782</v>
      </c>
      <c r="V166">
        <f t="shared" si="11"/>
        <v>111269.04535633221</v>
      </c>
    </row>
    <row r="167" spans="1:22" ht="14.25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5">
        <f t="shared" si="0"/>
        <v>1</v>
      </c>
      <c r="N167" s="5">
        <f t="shared" si="1"/>
        <v>0</v>
      </c>
      <c r="O167" s="5">
        <f t="shared" si="2"/>
        <v>0</v>
      </c>
      <c r="P167" s="5">
        <f t="shared" si="3"/>
        <v>1</v>
      </c>
      <c r="Q167" s="5">
        <f t="shared" si="4"/>
        <v>0</v>
      </c>
      <c r="R167" s="5">
        <f t="shared" si="5"/>
        <v>0</v>
      </c>
      <c r="S167" s="2">
        <v>138014.72</v>
      </c>
      <c r="T167" s="2">
        <v>706285.52</v>
      </c>
      <c r="U167" s="12">
        <f t="shared" si="10"/>
        <v>636462.09718765633</v>
      </c>
      <c r="V167">
        <f t="shared" si="11"/>
        <v>69823.422812343691</v>
      </c>
    </row>
    <row r="168" spans="1:22" ht="14.25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5">
        <f t="shared" si="0"/>
        <v>1</v>
      </c>
      <c r="N168" s="5">
        <f t="shared" si="1"/>
        <v>0</v>
      </c>
      <c r="O168" s="5">
        <f t="shared" si="2"/>
        <v>0</v>
      </c>
      <c r="P168" s="5">
        <f t="shared" si="3"/>
        <v>1</v>
      </c>
      <c r="Q168" s="5">
        <f t="shared" si="4"/>
        <v>0</v>
      </c>
      <c r="R168" s="5">
        <f t="shared" si="5"/>
        <v>0</v>
      </c>
      <c r="S168" s="2">
        <v>113167.73</v>
      </c>
      <c r="T168" s="2">
        <v>665534.69999999995</v>
      </c>
      <c r="U168" s="12">
        <f t="shared" si="10"/>
        <v>625865.74426166445</v>
      </c>
      <c r="V168">
        <f t="shared" si="11"/>
        <v>39668.955738335499</v>
      </c>
    </row>
    <row r="169" spans="1:22" ht="14.25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5">
        <f t="shared" si="0"/>
        <v>1</v>
      </c>
      <c r="N169" s="5">
        <f t="shared" si="1"/>
        <v>0</v>
      </c>
      <c r="O169" s="5">
        <f t="shared" si="2"/>
        <v>0</v>
      </c>
      <c r="P169" s="5">
        <f t="shared" si="3"/>
        <v>1</v>
      </c>
      <c r="Q169" s="5">
        <f t="shared" si="4"/>
        <v>0</v>
      </c>
      <c r="R169" s="5">
        <f t="shared" si="5"/>
        <v>0</v>
      </c>
      <c r="S169" s="2">
        <v>159325.47</v>
      </c>
      <c r="T169" s="2">
        <v>820729.29</v>
      </c>
      <c r="U169" s="12">
        <f t="shared" si="10"/>
        <v>727837.46306800959</v>
      </c>
      <c r="V169">
        <f t="shared" si="11"/>
        <v>92891.82693199045</v>
      </c>
    </row>
    <row r="170" spans="1:22" ht="14.25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5">
        <f t="shared" si="0"/>
        <v>0</v>
      </c>
      <c r="N170" s="5">
        <f t="shared" si="1"/>
        <v>0</v>
      </c>
      <c r="O170" s="5">
        <f t="shared" si="2"/>
        <v>1</v>
      </c>
      <c r="P170" s="5">
        <f t="shared" si="3"/>
        <v>0</v>
      </c>
      <c r="Q170" s="5">
        <f t="shared" si="4"/>
        <v>0</v>
      </c>
      <c r="R170" s="5">
        <f t="shared" si="5"/>
        <v>0</v>
      </c>
      <c r="S170" s="2">
        <v>119490.21</v>
      </c>
      <c r="T170" s="2">
        <v>739831.73</v>
      </c>
      <c r="U170" s="12">
        <f t="shared" si="10"/>
        <v>693148.72090512293</v>
      </c>
      <c r="V170">
        <f t="shared" si="11"/>
        <v>46683.009094877052</v>
      </c>
    </row>
    <row r="171" spans="1:22" ht="14.25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5">
        <f t="shared" si="0"/>
        <v>0</v>
      </c>
      <c r="N171" s="5">
        <f t="shared" si="1"/>
        <v>0</v>
      </c>
      <c r="O171" s="5">
        <f t="shared" si="2"/>
        <v>1</v>
      </c>
      <c r="P171" s="5">
        <f t="shared" si="3"/>
        <v>0</v>
      </c>
      <c r="Q171" s="5">
        <f t="shared" si="4"/>
        <v>0</v>
      </c>
      <c r="R171" s="5">
        <f t="shared" si="5"/>
        <v>0</v>
      </c>
      <c r="S171" s="2">
        <v>106648.14</v>
      </c>
      <c r="T171" s="2">
        <v>593637.14</v>
      </c>
      <c r="U171" s="12">
        <f t="shared" si="10"/>
        <v>631231.50599177124</v>
      </c>
      <c r="V171">
        <f t="shared" si="11"/>
        <v>-37594.365991771221</v>
      </c>
    </row>
    <row r="172" spans="1:22" ht="14.25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5">
        <f t="shared" si="0"/>
        <v>0</v>
      </c>
      <c r="N172" s="5">
        <f t="shared" si="1"/>
        <v>0</v>
      </c>
      <c r="O172" s="5">
        <f t="shared" si="2"/>
        <v>1</v>
      </c>
      <c r="P172" s="5">
        <f t="shared" si="3"/>
        <v>0</v>
      </c>
      <c r="Q172" s="5">
        <f t="shared" si="4"/>
        <v>0</v>
      </c>
      <c r="R172" s="5">
        <f t="shared" si="5"/>
        <v>0</v>
      </c>
      <c r="S172" s="2">
        <v>158697</v>
      </c>
      <c r="T172" s="2">
        <v>769702.76</v>
      </c>
      <c r="U172" s="12">
        <f t="shared" si="10"/>
        <v>669347.4779819079</v>
      </c>
      <c r="V172">
        <f t="shared" si="11"/>
        <v>100355.28201809211</v>
      </c>
    </row>
    <row r="173" spans="1:22" ht="14.25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5">
        <f t="shared" si="0"/>
        <v>0</v>
      </c>
      <c r="N173" s="5">
        <f t="shared" si="1"/>
        <v>0</v>
      </c>
      <c r="O173" s="5">
        <f t="shared" si="2"/>
        <v>1</v>
      </c>
      <c r="P173" s="5">
        <f t="shared" si="3"/>
        <v>0</v>
      </c>
      <c r="Q173" s="5">
        <f t="shared" si="4"/>
        <v>0</v>
      </c>
      <c r="R173" s="5">
        <f t="shared" si="5"/>
        <v>0</v>
      </c>
      <c r="S173" s="2">
        <v>121546.42</v>
      </c>
      <c r="T173" s="2">
        <v>679731.57</v>
      </c>
      <c r="U173" s="12">
        <f t="shared" si="10"/>
        <v>639223.15662187559</v>
      </c>
      <c r="V173">
        <f t="shared" si="11"/>
        <v>40508.413378124358</v>
      </c>
    </row>
    <row r="174" spans="1:22" ht="14.25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5">
        <f t="shared" si="0"/>
        <v>0</v>
      </c>
      <c r="N174" s="5">
        <f t="shared" si="1"/>
        <v>0</v>
      </c>
      <c r="O174" s="5">
        <f t="shared" si="2"/>
        <v>1</v>
      </c>
      <c r="P174" s="5">
        <f t="shared" si="3"/>
        <v>0</v>
      </c>
      <c r="Q174" s="5">
        <f t="shared" si="4"/>
        <v>0</v>
      </c>
      <c r="R174" s="5">
        <f t="shared" si="5"/>
        <v>0</v>
      </c>
      <c r="S174" s="2">
        <v>118239.09</v>
      </c>
      <c r="T174" s="2">
        <v>780344.18</v>
      </c>
      <c r="U174" s="12">
        <f t="shared" si="10"/>
        <v>699883.11607413169</v>
      </c>
      <c r="V174">
        <f t="shared" si="11"/>
        <v>80461.063925868366</v>
      </c>
    </row>
    <row r="175" spans="1:22" ht="14.25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5">
        <f t="shared" si="0"/>
        <v>0</v>
      </c>
      <c r="N175" s="5">
        <f t="shared" si="1"/>
        <v>0</v>
      </c>
      <c r="O175" s="5">
        <f t="shared" si="2"/>
        <v>1</v>
      </c>
      <c r="P175" s="5">
        <f t="shared" si="3"/>
        <v>0</v>
      </c>
      <c r="Q175" s="5">
        <f t="shared" si="4"/>
        <v>0</v>
      </c>
      <c r="R175" s="5">
        <f t="shared" si="5"/>
        <v>0</v>
      </c>
      <c r="S175" s="2">
        <v>147272.81</v>
      </c>
      <c r="T175" s="2">
        <v>721364.11</v>
      </c>
      <c r="U175" s="12">
        <f t="shared" si="10"/>
        <v>654137.4030252978</v>
      </c>
      <c r="V175">
        <f t="shared" si="11"/>
        <v>67226.706974702189</v>
      </c>
    </row>
    <row r="176" spans="1:22" ht="14.25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5">
        <f t="shared" si="0"/>
        <v>0</v>
      </c>
      <c r="N176" s="5">
        <f t="shared" si="1"/>
        <v>0</v>
      </c>
      <c r="O176" s="5">
        <f t="shared" si="2"/>
        <v>1</v>
      </c>
      <c r="P176" s="5">
        <f t="shared" si="3"/>
        <v>0</v>
      </c>
      <c r="Q176" s="5">
        <f t="shared" si="4"/>
        <v>0</v>
      </c>
      <c r="R176" s="5">
        <f t="shared" si="5"/>
        <v>0</v>
      </c>
      <c r="S176" s="2">
        <v>132975.26</v>
      </c>
      <c r="T176" s="2">
        <v>758138.29</v>
      </c>
      <c r="U176" s="12">
        <f t="shared" si="10"/>
        <v>705820.36526350165</v>
      </c>
      <c r="V176">
        <f t="shared" si="11"/>
        <v>52317.924736498389</v>
      </c>
    </row>
    <row r="177" spans="1:22" ht="14.25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5">
        <f t="shared" si="0"/>
        <v>0</v>
      </c>
      <c r="N177" s="5">
        <f t="shared" si="1"/>
        <v>0</v>
      </c>
      <c r="O177" s="5">
        <f t="shared" si="2"/>
        <v>1</v>
      </c>
      <c r="P177" s="5">
        <f t="shared" si="3"/>
        <v>0</v>
      </c>
      <c r="Q177" s="5">
        <f t="shared" si="4"/>
        <v>0</v>
      </c>
      <c r="R177" s="5">
        <f t="shared" si="5"/>
        <v>0</v>
      </c>
      <c r="S177" s="2">
        <v>167117.91</v>
      </c>
      <c r="T177" s="2">
        <v>804264</v>
      </c>
      <c r="U177" s="12">
        <f t="shared" si="10"/>
        <v>695235.09293145931</v>
      </c>
      <c r="V177">
        <f t="shared" si="11"/>
        <v>109028.90706854069</v>
      </c>
    </row>
    <row r="178" spans="1:22" ht="14.25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5">
        <f t="shared" si="0"/>
        <v>0</v>
      </c>
      <c r="N178" s="5">
        <f t="shared" si="1"/>
        <v>0</v>
      </c>
      <c r="O178" s="5">
        <f t="shared" si="2"/>
        <v>0</v>
      </c>
      <c r="P178" s="5">
        <f t="shared" si="3"/>
        <v>0</v>
      </c>
      <c r="Q178" s="5">
        <f t="shared" si="4"/>
        <v>0</v>
      </c>
      <c r="R178" s="5">
        <f t="shared" si="5"/>
        <v>1</v>
      </c>
      <c r="S178" s="2">
        <v>160362.92000000001</v>
      </c>
      <c r="T178" s="2">
        <v>887537.75</v>
      </c>
      <c r="U178" s="12">
        <f t="shared" si="10"/>
        <v>704663.44955947099</v>
      </c>
      <c r="V178">
        <f t="shared" si="11"/>
        <v>182874.30044052901</v>
      </c>
    </row>
    <row r="179" spans="1:22" ht="14.25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5">
        <f t="shared" si="0"/>
        <v>0</v>
      </c>
      <c r="N179" s="5">
        <f t="shared" si="1"/>
        <v>0</v>
      </c>
      <c r="O179" s="5">
        <f t="shared" si="2"/>
        <v>0</v>
      </c>
      <c r="P179" s="5">
        <f t="shared" si="3"/>
        <v>0</v>
      </c>
      <c r="Q179" s="5">
        <f t="shared" si="4"/>
        <v>0</v>
      </c>
      <c r="R179" s="5">
        <f t="shared" si="5"/>
        <v>1</v>
      </c>
      <c r="S179" s="2">
        <v>130670.93</v>
      </c>
      <c r="T179" s="2">
        <v>783582</v>
      </c>
      <c r="U179" s="12">
        <f t="shared" si="10"/>
        <v>623932.38189021056</v>
      </c>
      <c r="V179">
        <f t="shared" si="11"/>
        <v>159649.61810978944</v>
      </c>
    </row>
    <row r="180" spans="1:22" ht="14.25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5">
        <f t="shared" si="0"/>
        <v>0</v>
      </c>
      <c r="N180" s="5">
        <f t="shared" si="1"/>
        <v>0</v>
      </c>
      <c r="O180" s="5">
        <f t="shared" si="2"/>
        <v>0</v>
      </c>
      <c r="P180" s="5">
        <f t="shared" si="3"/>
        <v>0</v>
      </c>
      <c r="Q180" s="5">
        <f t="shared" si="4"/>
        <v>0</v>
      </c>
      <c r="R180" s="5">
        <f t="shared" si="5"/>
        <v>1</v>
      </c>
      <c r="S180" s="2">
        <v>152578.71</v>
      </c>
      <c r="T180" s="2">
        <v>781955.52</v>
      </c>
      <c r="U180" s="12">
        <f t="shared" si="10"/>
        <v>647546.48353932193</v>
      </c>
      <c r="V180">
        <f t="shared" si="11"/>
        <v>134409.03646067809</v>
      </c>
    </row>
    <row r="181" spans="1:22" ht="14.25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5">
        <f t="shared" si="0"/>
        <v>0</v>
      </c>
      <c r="N181" s="5">
        <f t="shared" si="1"/>
        <v>0</v>
      </c>
      <c r="O181" s="5">
        <f t="shared" si="2"/>
        <v>0</v>
      </c>
      <c r="P181" s="5">
        <f t="shared" si="3"/>
        <v>0</v>
      </c>
      <c r="Q181" s="5">
        <f t="shared" si="4"/>
        <v>0</v>
      </c>
      <c r="R181" s="5">
        <f t="shared" si="5"/>
        <v>1</v>
      </c>
      <c r="S181" s="2">
        <v>138666.5</v>
      </c>
      <c r="T181" s="2">
        <v>898031.04</v>
      </c>
      <c r="U181" s="12">
        <f t="shared" si="10"/>
        <v>720314.98978592118</v>
      </c>
      <c r="V181">
        <f t="shared" si="11"/>
        <v>177716.05021407886</v>
      </c>
    </row>
    <row r="182" spans="1:22" ht="14.25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5">
        <f t="shared" si="0"/>
        <v>0</v>
      </c>
      <c r="N182" s="5">
        <f t="shared" si="1"/>
        <v>0</v>
      </c>
      <c r="O182" s="5">
        <f t="shared" si="2"/>
        <v>0</v>
      </c>
      <c r="P182" s="5">
        <f t="shared" si="3"/>
        <v>0</v>
      </c>
      <c r="Q182" s="5">
        <f t="shared" si="4"/>
        <v>0</v>
      </c>
      <c r="R182" s="5">
        <f t="shared" si="5"/>
        <v>0</v>
      </c>
      <c r="S182" s="2">
        <v>175823.8</v>
      </c>
      <c r="T182" s="2">
        <v>855341.28</v>
      </c>
      <c r="U182" s="12">
        <f t="shared" si="10"/>
        <v>706775.79636244616</v>
      </c>
      <c r="V182">
        <f t="shared" si="11"/>
        <v>148565.48363755387</v>
      </c>
    </row>
    <row r="183" spans="1:22" ht="14.25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5">
        <f t="shared" si="0"/>
        <v>0</v>
      </c>
      <c r="N183" s="5">
        <f t="shared" si="1"/>
        <v>0</v>
      </c>
      <c r="O183" s="5">
        <f t="shared" si="2"/>
        <v>0</v>
      </c>
      <c r="P183" s="5">
        <f t="shared" si="3"/>
        <v>0</v>
      </c>
      <c r="Q183" s="5">
        <f t="shared" si="4"/>
        <v>0</v>
      </c>
      <c r="R183" s="5">
        <f t="shared" si="5"/>
        <v>0</v>
      </c>
      <c r="S183" s="2">
        <v>91480.320000000007</v>
      </c>
      <c r="T183" s="2">
        <v>751393.88</v>
      </c>
      <c r="U183" s="12">
        <f t="shared" si="10"/>
        <v>657449.4412860017</v>
      </c>
      <c r="V183">
        <f t="shared" si="11"/>
        <v>93944.438713998301</v>
      </c>
    </row>
    <row r="184" spans="1:22" ht="14.25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5">
        <f t="shared" si="0"/>
        <v>0</v>
      </c>
      <c r="N184" s="5">
        <f t="shared" si="1"/>
        <v>0</v>
      </c>
      <c r="O184" s="5">
        <f t="shared" si="2"/>
        <v>0</v>
      </c>
      <c r="P184" s="5">
        <f t="shared" si="3"/>
        <v>0</v>
      </c>
      <c r="Q184" s="5">
        <f t="shared" si="4"/>
        <v>0</v>
      </c>
      <c r="R184" s="5">
        <f t="shared" si="5"/>
        <v>0</v>
      </c>
      <c r="S184" s="2">
        <v>113605.93</v>
      </c>
      <c r="T184" s="2">
        <v>761077.08</v>
      </c>
      <c r="U184" s="12">
        <f t="shared" si="10"/>
        <v>695163.67288900446</v>
      </c>
      <c r="V184">
        <f t="shared" si="11"/>
        <v>65913.407110995497</v>
      </c>
    </row>
    <row r="185" spans="1:22" ht="14.25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5">
        <f t="shared" si="0"/>
        <v>0</v>
      </c>
      <c r="N185" s="5">
        <f t="shared" si="1"/>
        <v>0</v>
      </c>
      <c r="O185" s="5">
        <f t="shared" si="2"/>
        <v>0</v>
      </c>
      <c r="P185" s="5">
        <f t="shared" si="3"/>
        <v>0</v>
      </c>
      <c r="Q185" s="5">
        <f t="shared" si="4"/>
        <v>0</v>
      </c>
      <c r="R185" s="5">
        <f t="shared" si="5"/>
        <v>0</v>
      </c>
      <c r="S185" s="2">
        <v>172699.95</v>
      </c>
      <c r="T185" s="2">
        <v>819660.59</v>
      </c>
      <c r="U185" s="12">
        <f t="shared" si="10"/>
        <v>684440.39101778972</v>
      </c>
      <c r="V185">
        <f t="shared" si="11"/>
        <v>135220.19898221025</v>
      </c>
    </row>
    <row r="186" spans="1:22" ht="14.25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5">
        <f t="shared" si="0"/>
        <v>1</v>
      </c>
      <c r="N186" s="5">
        <f t="shared" si="1"/>
        <v>0</v>
      </c>
      <c r="O186" s="5">
        <f t="shared" si="2"/>
        <v>0</v>
      </c>
      <c r="P186" s="5">
        <f t="shared" si="3"/>
        <v>0</v>
      </c>
      <c r="Q186" s="5">
        <f t="shared" si="4"/>
        <v>1</v>
      </c>
      <c r="R186" s="5">
        <f t="shared" si="5"/>
        <v>0</v>
      </c>
      <c r="S186" s="2">
        <v>117645.61</v>
      </c>
      <c r="T186" s="2">
        <v>681855.56</v>
      </c>
      <c r="U186" s="12">
        <f t="shared" si="10"/>
        <v>714086.25529720576</v>
      </c>
      <c r="V186">
        <f t="shared" si="11"/>
        <v>-32230.695297205704</v>
      </c>
    </row>
    <row r="187" spans="1:22" ht="14.25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5">
        <f t="shared" si="0"/>
        <v>1</v>
      </c>
      <c r="N187" s="5">
        <f t="shared" si="1"/>
        <v>0</v>
      </c>
      <c r="O187" s="5">
        <f t="shared" si="2"/>
        <v>0</v>
      </c>
      <c r="P187" s="5">
        <f t="shared" si="3"/>
        <v>0</v>
      </c>
      <c r="Q187" s="5">
        <f t="shared" si="4"/>
        <v>1</v>
      </c>
      <c r="R187" s="5">
        <f t="shared" si="5"/>
        <v>0</v>
      </c>
      <c r="S187" s="2">
        <v>132029.76000000001</v>
      </c>
      <c r="T187" s="2">
        <v>678311.17</v>
      </c>
      <c r="U187" s="12">
        <f t="shared" si="10"/>
        <v>682743.34402857861</v>
      </c>
      <c r="V187">
        <f t="shared" si="11"/>
        <v>-4432.1740285785636</v>
      </c>
    </row>
    <row r="188" spans="1:22" ht="14.25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5">
        <f t="shared" si="0"/>
        <v>1</v>
      </c>
      <c r="N188" s="5">
        <f t="shared" si="1"/>
        <v>0</v>
      </c>
      <c r="O188" s="5">
        <f t="shared" si="2"/>
        <v>0</v>
      </c>
      <c r="P188" s="5">
        <f t="shared" si="3"/>
        <v>0</v>
      </c>
      <c r="Q188" s="5">
        <f t="shared" si="4"/>
        <v>1</v>
      </c>
      <c r="R188" s="5">
        <f t="shared" si="5"/>
        <v>0</v>
      </c>
      <c r="S188" s="2">
        <v>114005.9</v>
      </c>
      <c r="T188" s="2">
        <v>765906.95</v>
      </c>
      <c r="U188" s="12">
        <f t="shared" si="10"/>
        <v>663429.33910944511</v>
      </c>
      <c r="V188">
        <f t="shared" si="11"/>
        <v>102477.61089055485</v>
      </c>
    </row>
    <row r="189" spans="1:22" ht="14.25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5">
        <f t="shared" si="0"/>
        <v>1</v>
      </c>
      <c r="N189" s="5">
        <f t="shared" si="1"/>
        <v>0</v>
      </c>
      <c r="O189" s="5">
        <f t="shared" si="2"/>
        <v>0</v>
      </c>
      <c r="P189" s="5">
        <f t="shared" si="3"/>
        <v>0</v>
      </c>
      <c r="Q189" s="5">
        <f t="shared" si="4"/>
        <v>1</v>
      </c>
      <c r="R189" s="5">
        <f t="shared" si="5"/>
        <v>0</v>
      </c>
      <c r="S189" s="2">
        <v>101480.04</v>
      </c>
      <c r="T189" s="2">
        <v>712546.38</v>
      </c>
      <c r="U189" s="12">
        <f t="shared" si="10"/>
        <v>715872.66738255275</v>
      </c>
      <c r="V189">
        <f t="shared" si="11"/>
        <v>-3326.2873825527495</v>
      </c>
    </row>
    <row r="190" spans="1:22" ht="14.25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5">
        <f t="shared" si="0"/>
        <v>0</v>
      </c>
      <c r="N190" s="5">
        <f t="shared" si="1"/>
        <v>0</v>
      </c>
      <c r="O190" s="5">
        <f t="shared" si="2"/>
        <v>1</v>
      </c>
      <c r="P190" s="5">
        <f t="shared" si="3"/>
        <v>0</v>
      </c>
      <c r="Q190" s="5">
        <f t="shared" si="4"/>
        <v>1</v>
      </c>
      <c r="R190" s="5">
        <f t="shared" si="5"/>
        <v>0</v>
      </c>
      <c r="S190" s="2">
        <v>98960.320000000007</v>
      </c>
      <c r="T190" s="2">
        <v>625993.82999999996</v>
      </c>
      <c r="U190" s="12">
        <f t="shared" si="10"/>
        <v>713451.25039882085</v>
      </c>
      <c r="V190">
        <f t="shared" si="11"/>
        <v>-87457.42039882089</v>
      </c>
    </row>
    <row r="191" spans="1:22" ht="14.25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5">
        <f t="shared" si="0"/>
        <v>0</v>
      </c>
      <c r="N191" s="5">
        <f t="shared" si="1"/>
        <v>0</v>
      </c>
      <c r="O191" s="5">
        <f t="shared" si="2"/>
        <v>1</v>
      </c>
      <c r="P191" s="5">
        <f t="shared" si="3"/>
        <v>0</v>
      </c>
      <c r="Q191" s="5">
        <f t="shared" si="4"/>
        <v>1</v>
      </c>
      <c r="R191" s="5">
        <f t="shared" si="5"/>
        <v>0</v>
      </c>
      <c r="S191" s="2">
        <v>97144.58</v>
      </c>
      <c r="T191" s="2">
        <v>550962.93000000005</v>
      </c>
      <c r="U191" s="12">
        <f t="shared" si="10"/>
        <v>679863.51249171875</v>
      </c>
      <c r="V191">
        <f t="shared" si="11"/>
        <v>-128900.5824917187</v>
      </c>
    </row>
    <row r="192" spans="1:22" ht="14.25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5">
        <f t="shared" si="0"/>
        <v>0</v>
      </c>
      <c r="N192" s="5">
        <f t="shared" si="1"/>
        <v>0</v>
      </c>
      <c r="O192" s="5">
        <f t="shared" si="2"/>
        <v>1</v>
      </c>
      <c r="P192" s="5">
        <f t="shared" si="3"/>
        <v>0</v>
      </c>
      <c r="Q192" s="5">
        <f t="shared" si="4"/>
        <v>1</v>
      </c>
      <c r="R192" s="5">
        <f t="shared" si="5"/>
        <v>0</v>
      </c>
      <c r="S192" s="2">
        <v>53544.36</v>
      </c>
      <c r="T192" s="2">
        <v>443275.59</v>
      </c>
      <c r="U192" s="12">
        <f t="shared" si="10"/>
        <v>641552.34831791662</v>
      </c>
      <c r="V192">
        <f t="shared" si="11"/>
        <v>-198276.7583179166</v>
      </c>
    </row>
    <row r="193" spans="1:22" ht="14.25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5">
        <f t="shared" si="0"/>
        <v>0</v>
      </c>
      <c r="N193" s="5">
        <f t="shared" si="1"/>
        <v>0</v>
      </c>
      <c r="O193" s="5">
        <f t="shared" si="2"/>
        <v>1</v>
      </c>
      <c r="P193" s="5">
        <f t="shared" si="3"/>
        <v>0</v>
      </c>
      <c r="Q193" s="5">
        <f t="shared" si="4"/>
        <v>1</v>
      </c>
      <c r="R193" s="5">
        <f t="shared" si="5"/>
        <v>0</v>
      </c>
      <c r="S193" s="2">
        <v>81101.62</v>
      </c>
      <c r="T193" s="2">
        <v>554012.06999999995</v>
      </c>
      <c r="U193" s="12">
        <f t="shared" si="10"/>
        <v>678121.06260990002</v>
      </c>
      <c r="V193">
        <f t="shared" si="11"/>
        <v>-124108.99260990007</v>
      </c>
    </row>
    <row r="194" spans="1:22" ht="14.25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5">
        <f t="shared" si="0"/>
        <v>0</v>
      </c>
      <c r="N194" s="5">
        <f t="shared" si="1"/>
        <v>0</v>
      </c>
      <c r="O194" s="5">
        <f t="shared" si="2"/>
        <v>0</v>
      </c>
      <c r="P194" s="5">
        <f t="shared" si="3"/>
        <v>0</v>
      </c>
      <c r="Q194" s="5">
        <f t="shared" si="4"/>
        <v>0</v>
      </c>
      <c r="R194" s="5">
        <f t="shared" si="5"/>
        <v>0</v>
      </c>
      <c r="S194" s="2">
        <v>94477.63</v>
      </c>
      <c r="T194" s="2">
        <v>643428.85</v>
      </c>
      <c r="U194" s="12">
        <f t="shared" si="10"/>
        <v>734965.90788686019</v>
      </c>
      <c r="V194">
        <f t="shared" si="11"/>
        <v>-91537.057886860217</v>
      </c>
    </row>
    <row r="195" spans="1:22" ht="14.25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5">
        <f t="shared" si="0"/>
        <v>0</v>
      </c>
      <c r="N195" s="5">
        <f t="shared" si="1"/>
        <v>0</v>
      </c>
      <c r="O195" s="5">
        <f t="shared" si="2"/>
        <v>0</v>
      </c>
      <c r="P195" s="5">
        <f t="shared" si="3"/>
        <v>0</v>
      </c>
      <c r="Q195" s="5">
        <f t="shared" si="4"/>
        <v>0</v>
      </c>
      <c r="R195" s="5">
        <f t="shared" si="5"/>
        <v>0</v>
      </c>
      <c r="S195" s="2">
        <v>115488.75</v>
      </c>
      <c r="T195" s="2">
        <v>611924.27</v>
      </c>
      <c r="U195" s="12">
        <f t="shared" ref="U195:U258" si="12">561666.3931+(2.118660411*E195)</f>
        <v>670000.76691963966</v>
      </c>
      <c r="V195">
        <f t="shared" ref="V195:V258" si="13">T195-U195</f>
        <v>-58076.496919639641</v>
      </c>
    </row>
    <row r="196" spans="1:22" ht="14.25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5">
        <f t="shared" si="0"/>
        <v>0</v>
      </c>
      <c r="N196" s="5">
        <f t="shared" si="1"/>
        <v>0</v>
      </c>
      <c r="O196" s="5">
        <f t="shared" si="2"/>
        <v>0</v>
      </c>
      <c r="P196" s="5">
        <f t="shared" si="3"/>
        <v>0</v>
      </c>
      <c r="Q196" s="5">
        <f t="shared" si="4"/>
        <v>0</v>
      </c>
      <c r="R196" s="5">
        <f t="shared" si="5"/>
        <v>0</v>
      </c>
      <c r="S196" s="2">
        <v>73528.740000000005</v>
      </c>
      <c r="T196" s="2">
        <v>559422.02</v>
      </c>
      <c r="U196" s="12">
        <f t="shared" si="12"/>
        <v>646879.29618929396</v>
      </c>
      <c r="V196">
        <f t="shared" si="13"/>
        <v>-87457.276189293945</v>
      </c>
    </row>
    <row r="197" spans="1:22" ht="14.25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4">
        <v>3.9</v>
      </c>
      <c r="M197" s="5">
        <f t="shared" si="0"/>
        <v>0</v>
      </c>
      <c r="N197" s="5">
        <f t="shared" si="1"/>
        <v>0</v>
      </c>
      <c r="O197" s="5">
        <f t="shared" si="2"/>
        <v>0</v>
      </c>
      <c r="P197" s="5">
        <f t="shared" si="3"/>
        <v>0</v>
      </c>
      <c r="Q197" s="5">
        <f t="shared" si="4"/>
        <v>0</v>
      </c>
      <c r="R197" s="5">
        <f t="shared" si="5"/>
        <v>0</v>
      </c>
      <c r="S197" s="2">
        <v>65694.78</v>
      </c>
      <c r="T197" s="2">
        <v>449465.06</v>
      </c>
      <c r="U197" s="12">
        <f t="shared" si="12"/>
        <v>649924.78578369005</v>
      </c>
      <c r="V197">
        <f t="shared" si="13"/>
        <v>-200459.72578369005</v>
      </c>
    </row>
    <row r="198" spans="1:22" ht="14.25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5">
        <f t="shared" si="0"/>
        <v>1</v>
      </c>
      <c r="N198" s="5">
        <f t="shared" si="1"/>
        <v>0</v>
      </c>
      <c r="O198" s="5">
        <f t="shared" si="2"/>
        <v>0</v>
      </c>
      <c r="P198" s="5">
        <f t="shared" si="3"/>
        <v>0</v>
      </c>
      <c r="Q198" s="5">
        <f t="shared" si="4"/>
        <v>0</v>
      </c>
      <c r="R198" s="5">
        <f t="shared" si="5"/>
        <v>0</v>
      </c>
      <c r="S198" s="2">
        <v>114077.69</v>
      </c>
      <c r="T198" s="2">
        <v>691447.43</v>
      </c>
      <c r="U198" s="12">
        <f t="shared" si="12"/>
        <v>713895.21568794595</v>
      </c>
      <c r="V198">
        <f t="shared" si="13"/>
        <v>-22447.7856879459</v>
      </c>
    </row>
    <row r="199" spans="1:22" ht="14.25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5">
        <f t="shared" si="0"/>
        <v>1</v>
      </c>
      <c r="N199" s="5">
        <f t="shared" si="1"/>
        <v>0</v>
      </c>
      <c r="O199" s="5">
        <f t="shared" si="2"/>
        <v>0</v>
      </c>
      <c r="P199" s="5">
        <f t="shared" si="3"/>
        <v>0</v>
      </c>
      <c r="Q199" s="5">
        <f t="shared" si="4"/>
        <v>0</v>
      </c>
      <c r="R199" s="5">
        <f t="shared" si="5"/>
        <v>0</v>
      </c>
      <c r="S199" s="2">
        <v>124674.67</v>
      </c>
      <c r="T199" s="2">
        <v>574066.61</v>
      </c>
      <c r="U199" s="12">
        <f t="shared" si="12"/>
        <v>676080.05110296316</v>
      </c>
      <c r="V199">
        <f t="shared" si="13"/>
        <v>-102013.44110296317</v>
      </c>
    </row>
    <row r="200" spans="1:22" ht="14.25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5">
        <f t="shared" si="0"/>
        <v>1</v>
      </c>
      <c r="N200" s="5">
        <f t="shared" si="1"/>
        <v>0</v>
      </c>
      <c r="O200" s="5">
        <f t="shared" si="2"/>
        <v>0</v>
      </c>
      <c r="P200" s="5">
        <f t="shared" si="3"/>
        <v>0</v>
      </c>
      <c r="Q200" s="5">
        <f t="shared" si="4"/>
        <v>0</v>
      </c>
      <c r="R200" s="5">
        <f t="shared" si="5"/>
        <v>0</v>
      </c>
      <c r="S200" s="2">
        <v>80253.649999999994</v>
      </c>
      <c r="T200" s="2">
        <v>578949.84</v>
      </c>
      <c r="U200" s="12">
        <f t="shared" si="12"/>
        <v>677089.59278880467</v>
      </c>
      <c r="V200">
        <f t="shared" si="13"/>
        <v>-98139.752788804704</v>
      </c>
    </row>
    <row r="201" spans="1:22" ht="14.25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5">
        <f t="shared" si="0"/>
        <v>1</v>
      </c>
      <c r="N201" s="5">
        <f t="shared" si="1"/>
        <v>0</v>
      </c>
      <c r="O201" s="5">
        <f t="shared" si="2"/>
        <v>0</v>
      </c>
      <c r="P201" s="5">
        <f t="shared" si="3"/>
        <v>0</v>
      </c>
      <c r="Q201" s="5">
        <f t="shared" si="4"/>
        <v>0</v>
      </c>
      <c r="R201" s="5">
        <f t="shared" si="5"/>
        <v>0</v>
      </c>
      <c r="S201" s="2">
        <v>126540.66</v>
      </c>
      <c r="T201" s="2">
        <v>735786.64</v>
      </c>
      <c r="U201" s="12">
        <f t="shared" si="12"/>
        <v>691734.76932002977</v>
      </c>
      <c r="V201">
        <f t="shared" si="13"/>
        <v>44051.870679970249</v>
      </c>
    </row>
    <row r="202" spans="1:22" ht="14.25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5">
        <f t="shared" si="0"/>
        <v>0</v>
      </c>
      <c r="N202" s="5">
        <f t="shared" si="1"/>
        <v>0</v>
      </c>
      <c r="O202" s="5">
        <f t="shared" si="2"/>
        <v>1</v>
      </c>
      <c r="P202" s="5">
        <f t="shared" si="3"/>
        <v>0</v>
      </c>
      <c r="Q202" s="5">
        <f t="shared" si="4"/>
        <v>0</v>
      </c>
      <c r="R202" s="5">
        <f t="shared" si="5"/>
        <v>1</v>
      </c>
      <c r="S202" s="2">
        <v>72861</v>
      </c>
      <c r="T202" s="2">
        <v>598904.9</v>
      </c>
      <c r="U202" s="12">
        <f t="shared" si="12"/>
        <v>608939.91454441426</v>
      </c>
      <c r="V202">
        <f t="shared" si="13"/>
        <v>-10035.01454441424</v>
      </c>
    </row>
    <row r="203" spans="1:22" ht="14.25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5">
        <f t="shared" si="0"/>
        <v>0</v>
      </c>
      <c r="N203" s="5">
        <f t="shared" si="1"/>
        <v>0</v>
      </c>
      <c r="O203" s="5">
        <f t="shared" si="2"/>
        <v>1</v>
      </c>
      <c r="P203" s="5">
        <f t="shared" si="3"/>
        <v>0</v>
      </c>
      <c r="Q203" s="5">
        <f t="shared" si="4"/>
        <v>0</v>
      </c>
      <c r="R203" s="5">
        <f t="shared" si="5"/>
        <v>1</v>
      </c>
      <c r="S203" s="2">
        <v>128969.62</v>
      </c>
      <c r="T203" s="2">
        <v>787715.51</v>
      </c>
      <c r="U203" s="12">
        <f t="shared" si="12"/>
        <v>727159.13156421972</v>
      </c>
      <c r="V203">
        <f t="shared" si="13"/>
        <v>60556.378435780294</v>
      </c>
    </row>
    <row r="204" spans="1:22" ht="14.25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5">
        <f t="shared" si="0"/>
        <v>0</v>
      </c>
      <c r="N204" s="5">
        <f t="shared" si="1"/>
        <v>0</v>
      </c>
      <c r="O204" s="5">
        <f t="shared" si="2"/>
        <v>1</v>
      </c>
      <c r="P204" s="5">
        <f t="shared" si="3"/>
        <v>0</v>
      </c>
      <c r="Q204" s="5">
        <f t="shared" si="4"/>
        <v>0</v>
      </c>
      <c r="R204" s="5">
        <f t="shared" si="5"/>
        <v>1</v>
      </c>
      <c r="S204" s="2">
        <v>98558.49</v>
      </c>
      <c r="T204" s="2">
        <v>607084.92000000004</v>
      </c>
      <c r="U204" s="12">
        <f t="shared" si="12"/>
        <v>636250.08284032752</v>
      </c>
      <c r="V204">
        <f t="shared" si="13"/>
        <v>-29165.162840327481</v>
      </c>
    </row>
    <row r="205" spans="1:22" ht="14.25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5">
        <f t="shared" si="0"/>
        <v>0</v>
      </c>
      <c r="N205" s="5">
        <f t="shared" si="1"/>
        <v>0</v>
      </c>
      <c r="O205" s="5">
        <f t="shared" si="2"/>
        <v>1</v>
      </c>
      <c r="P205" s="5">
        <f t="shared" si="3"/>
        <v>0</v>
      </c>
      <c r="Q205" s="5">
        <f t="shared" si="4"/>
        <v>0</v>
      </c>
      <c r="R205" s="5">
        <f t="shared" si="5"/>
        <v>1</v>
      </c>
      <c r="S205" s="2">
        <v>103035.89</v>
      </c>
      <c r="T205" s="2">
        <v>650795.49</v>
      </c>
      <c r="U205" s="12">
        <f t="shared" si="12"/>
        <v>697481.59331165906</v>
      </c>
      <c r="V205">
        <f t="shared" si="13"/>
        <v>-46686.10331165907</v>
      </c>
    </row>
    <row r="206" spans="1:22" ht="14.25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5">
        <f t="shared" si="0"/>
        <v>0</v>
      </c>
      <c r="N206" s="5">
        <f t="shared" si="1"/>
        <v>0</v>
      </c>
      <c r="O206" s="5">
        <f t="shared" si="2"/>
        <v>1</v>
      </c>
      <c r="P206" s="5">
        <f t="shared" si="3"/>
        <v>1</v>
      </c>
      <c r="Q206" s="5">
        <f t="shared" si="4"/>
        <v>0</v>
      </c>
      <c r="R206" s="5">
        <f t="shared" si="5"/>
        <v>0</v>
      </c>
      <c r="S206" s="2">
        <v>143613.15</v>
      </c>
      <c r="T206" s="2">
        <v>825060.52</v>
      </c>
      <c r="U206" s="12">
        <f t="shared" si="12"/>
        <v>756774.12696144753</v>
      </c>
      <c r="V206">
        <f t="shared" si="13"/>
        <v>68286.393038552487</v>
      </c>
    </row>
    <row r="207" spans="1:22" ht="14.25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5">
        <f t="shared" si="0"/>
        <v>0</v>
      </c>
      <c r="N207" s="5">
        <f t="shared" si="1"/>
        <v>0</v>
      </c>
      <c r="O207" s="5">
        <f t="shared" si="2"/>
        <v>1</v>
      </c>
      <c r="P207" s="5">
        <f t="shared" si="3"/>
        <v>1</v>
      </c>
      <c r="Q207" s="5">
        <f t="shared" si="4"/>
        <v>0</v>
      </c>
      <c r="R207" s="5">
        <f t="shared" si="5"/>
        <v>0</v>
      </c>
      <c r="S207" s="2">
        <v>161150.51999999999</v>
      </c>
      <c r="T207" s="2">
        <v>795464.47</v>
      </c>
      <c r="U207" s="12">
        <f t="shared" si="12"/>
        <v>676711.49665185763</v>
      </c>
      <c r="V207">
        <f t="shared" si="13"/>
        <v>118752.97334814235</v>
      </c>
    </row>
    <row r="208" spans="1:22" ht="14.25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5">
        <f t="shared" si="0"/>
        <v>0</v>
      </c>
      <c r="N208" s="5">
        <f t="shared" si="1"/>
        <v>0</v>
      </c>
      <c r="O208" s="5">
        <f t="shared" si="2"/>
        <v>1</v>
      </c>
      <c r="P208" s="5">
        <f t="shared" si="3"/>
        <v>1</v>
      </c>
      <c r="Q208" s="5">
        <f t="shared" si="4"/>
        <v>0</v>
      </c>
      <c r="R208" s="5">
        <f t="shared" si="5"/>
        <v>0</v>
      </c>
      <c r="S208" s="2">
        <v>71003.28</v>
      </c>
      <c r="T208" s="2">
        <v>671868.59</v>
      </c>
      <c r="U208" s="12">
        <f t="shared" si="12"/>
        <v>642140.21302215685</v>
      </c>
      <c r="V208">
        <f t="shared" si="13"/>
        <v>29728.376977843116</v>
      </c>
    </row>
    <row r="209" spans="1:22" ht="14.25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5">
        <f t="shared" si="0"/>
        <v>0</v>
      </c>
      <c r="N209" s="5">
        <f t="shared" si="1"/>
        <v>0</v>
      </c>
      <c r="O209" s="5">
        <f t="shared" si="2"/>
        <v>1</v>
      </c>
      <c r="P209" s="5">
        <f t="shared" si="3"/>
        <v>1</v>
      </c>
      <c r="Q209" s="5">
        <f t="shared" si="4"/>
        <v>0</v>
      </c>
      <c r="R209" s="5">
        <f t="shared" si="5"/>
        <v>0</v>
      </c>
      <c r="S209" s="2">
        <v>112564.75</v>
      </c>
      <c r="T209" s="2">
        <v>675917.63</v>
      </c>
      <c r="U209" s="12">
        <f t="shared" si="12"/>
        <v>681188.14135388413</v>
      </c>
      <c r="V209">
        <f t="shared" si="13"/>
        <v>-5270.5113538841251</v>
      </c>
    </row>
    <row r="210" spans="1:22" ht="14.25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5">
        <f t="shared" si="0"/>
        <v>0</v>
      </c>
      <c r="N210" s="5">
        <f t="shared" si="1"/>
        <v>0</v>
      </c>
      <c r="O210" s="5">
        <f t="shared" si="2"/>
        <v>1</v>
      </c>
      <c r="P210" s="5">
        <f t="shared" si="3"/>
        <v>0</v>
      </c>
      <c r="Q210" s="5">
        <f t="shared" si="4"/>
        <v>1</v>
      </c>
      <c r="R210" s="5">
        <f t="shared" si="5"/>
        <v>0</v>
      </c>
      <c r="S210" s="2">
        <v>200575.34</v>
      </c>
      <c r="T210" s="2">
        <v>810446.53</v>
      </c>
      <c r="U210" s="12">
        <f t="shared" si="12"/>
        <v>696110.62934630504</v>
      </c>
      <c r="V210">
        <f t="shared" si="13"/>
        <v>114335.90065369499</v>
      </c>
    </row>
    <row r="211" spans="1:22" ht="14.25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5">
        <f t="shared" si="0"/>
        <v>0</v>
      </c>
      <c r="N211" s="5">
        <f t="shared" si="1"/>
        <v>0</v>
      </c>
      <c r="O211" s="5">
        <f t="shared" si="2"/>
        <v>1</v>
      </c>
      <c r="P211" s="5">
        <f t="shared" si="3"/>
        <v>0</v>
      </c>
      <c r="Q211" s="5">
        <f t="shared" si="4"/>
        <v>1</v>
      </c>
      <c r="R211" s="5">
        <f t="shared" si="5"/>
        <v>0</v>
      </c>
      <c r="S211" s="2">
        <v>159074.14000000001</v>
      </c>
      <c r="T211" s="2">
        <v>691288.19</v>
      </c>
      <c r="U211" s="12">
        <f t="shared" si="12"/>
        <v>695035.43037432665</v>
      </c>
      <c r="V211">
        <f t="shared" si="13"/>
        <v>-3747.2403743267059</v>
      </c>
    </row>
    <row r="212" spans="1:22" ht="14.25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5">
        <f t="shared" si="0"/>
        <v>0</v>
      </c>
      <c r="N212" s="5">
        <f t="shared" si="1"/>
        <v>0</v>
      </c>
      <c r="O212" s="5">
        <f t="shared" si="2"/>
        <v>1</v>
      </c>
      <c r="P212" s="5">
        <f t="shared" si="3"/>
        <v>0</v>
      </c>
      <c r="Q212" s="5">
        <f t="shared" si="4"/>
        <v>1</v>
      </c>
      <c r="R212" s="5">
        <f t="shared" si="5"/>
        <v>0</v>
      </c>
      <c r="S212" s="2">
        <v>184540.31</v>
      </c>
      <c r="T212" s="2">
        <v>946833.54</v>
      </c>
      <c r="U212" s="12">
        <f t="shared" si="12"/>
        <v>790418.56022114807</v>
      </c>
      <c r="V212">
        <f t="shared" si="13"/>
        <v>156414.97977885196</v>
      </c>
    </row>
    <row r="213" spans="1:22" ht="14.25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5">
        <f t="shared" si="0"/>
        <v>0</v>
      </c>
      <c r="N213" s="5">
        <f t="shared" si="1"/>
        <v>0</v>
      </c>
      <c r="O213" s="5">
        <f t="shared" si="2"/>
        <v>1</v>
      </c>
      <c r="P213" s="5">
        <f t="shared" si="3"/>
        <v>0</v>
      </c>
      <c r="Q213" s="5">
        <f t="shared" si="4"/>
        <v>1</v>
      </c>
      <c r="R213" s="5">
        <f t="shared" si="5"/>
        <v>0</v>
      </c>
      <c r="S213" s="2">
        <v>150113.60999999999</v>
      </c>
      <c r="T213" s="2">
        <v>761963.23</v>
      </c>
      <c r="U213" s="12">
        <f t="shared" si="12"/>
        <v>666340.39970076329</v>
      </c>
      <c r="V213">
        <f t="shared" si="13"/>
        <v>95622.830299236695</v>
      </c>
    </row>
    <row r="214" spans="1:22" ht="14.25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5">
        <f t="shared" si="0"/>
        <v>0</v>
      </c>
      <c r="N214" s="5">
        <f t="shared" si="1"/>
        <v>0</v>
      </c>
      <c r="O214" s="5">
        <f t="shared" si="2"/>
        <v>0</v>
      </c>
      <c r="P214" s="5">
        <f t="shared" si="3"/>
        <v>0</v>
      </c>
      <c r="Q214" s="5">
        <f t="shared" si="4"/>
        <v>0</v>
      </c>
      <c r="R214" s="5">
        <f t="shared" si="5"/>
        <v>0</v>
      </c>
      <c r="S214" s="2">
        <v>138419.43</v>
      </c>
      <c r="T214" s="2">
        <v>812152.6</v>
      </c>
      <c r="U214" s="12">
        <f t="shared" si="12"/>
        <v>669479.64001834602</v>
      </c>
      <c r="V214">
        <f t="shared" si="13"/>
        <v>142672.95998165396</v>
      </c>
    </row>
    <row r="215" spans="1:22" ht="14.25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5">
        <f t="shared" si="0"/>
        <v>0</v>
      </c>
      <c r="N215" s="5">
        <f t="shared" si="1"/>
        <v>0</v>
      </c>
      <c r="O215" s="5">
        <f t="shared" si="2"/>
        <v>0</v>
      </c>
      <c r="P215" s="5">
        <f t="shared" si="3"/>
        <v>0</v>
      </c>
      <c r="Q215" s="5">
        <f t="shared" si="4"/>
        <v>0</v>
      </c>
      <c r="R215" s="5">
        <f t="shared" si="5"/>
        <v>0</v>
      </c>
      <c r="S215" s="2">
        <v>140054.5</v>
      </c>
      <c r="T215" s="2">
        <v>804975.5</v>
      </c>
      <c r="U215" s="12">
        <f t="shared" si="12"/>
        <v>650267.60622479394</v>
      </c>
      <c r="V215">
        <f t="shared" si="13"/>
        <v>154707.89377520606</v>
      </c>
    </row>
    <row r="216" spans="1:22" ht="14.25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5">
        <f t="shared" si="0"/>
        <v>0</v>
      </c>
      <c r="N216" s="5">
        <f t="shared" si="1"/>
        <v>0</v>
      </c>
      <c r="O216" s="5">
        <f t="shared" si="2"/>
        <v>0</v>
      </c>
      <c r="P216" s="5">
        <f t="shared" si="3"/>
        <v>0</v>
      </c>
      <c r="Q216" s="5">
        <f t="shared" si="4"/>
        <v>0</v>
      </c>
      <c r="R216" s="5">
        <f t="shared" si="5"/>
        <v>0</v>
      </c>
      <c r="S216" s="2">
        <v>137788.51</v>
      </c>
      <c r="T216" s="2">
        <v>752321.72</v>
      </c>
      <c r="U216" s="12">
        <f t="shared" si="12"/>
        <v>636447.77504327788</v>
      </c>
      <c r="V216">
        <f t="shared" si="13"/>
        <v>115873.94495672209</v>
      </c>
    </row>
    <row r="217" spans="1:22" ht="14.25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5">
        <f t="shared" si="0"/>
        <v>0</v>
      </c>
      <c r="N217" s="5">
        <f t="shared" si="1"/>
        <v>0</v>
      </c>
      <c r="O217" s="5">
        <f t="shared" si="2"/>
        <v>0</v>
      </c>
      <c r="P217" s="5">
        <f t="shared" si="3"/>
        <v>0</v>
      </c>
      <c r="Q217" s="5">
        <f t="shared" si="4"/>
        <v>0</v>
      </c>
      <c r="R217" s="5">
        <f t="shared" si="5"/>
        <v>0</v>
      </c>
      <c r="S217" s="2">
        <v>141090.26</v>
      </c>
      <c r="T217" s="2">
        <v>836908.24</v>
      </c>
      <c r="U217" s="12">
        <f t="shared" si="12"/>
        <v>662072.01931713801</v>
      </c>
      <c r="V217">
        <f t="shared" si="13"/>
        <v>174836.22068286198</v>
      </c>
    </row>
    <row r="218" spans="1:22" ht="14.25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5">
        <f t="shared" si="0"/>
        <v>1</v>
      </c>
      <c r="N218" s="5">
        <f t="shared" si="1"/>
        <v>0</v>
      </c>
      <c r="O218" s="5">
        <f t="shared" si="2"/>
        <v>0</v>
      </c>
      <c r="P218" s="5">
        <f t="shared" si="3"/>
        <v>0</v>
      </c>
      <c r="Q218" s="5">
        <f t="shared" si="4"/>
        <v>0</v>
      </c>
      <c r="R218" s="5">
        <f t="shared" si="5"/>
        <v>1</v>
      </c>
      <c r="S218" s="2">
        <v>117773.79</v>
      </c>
      <c r="T218" s="2">
        <v>674289.1</v>
      </c>
      <c r="U218" s="12">
        <f t="shared" si="12"/>
        <v>708236.46440960187</v>
      </c>
      <c r="V218">
        <f t="shared" si="13"/>
        <v>-33947.364409601898</v>
      </c>
    </row>
    <row r="219" spans="1:22" ht="14.25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5">
        <f t="shared" si="0"/>
        <v>1</v>
      </c>
      <c r="N219" s="5">
        <f t="shared" si="1"/>
        <v>0</v>
      </c>
      <c r="O219" s="5">
        <f t="shared" si="2"/>
        <v>0</v>
      </c>
      <c r="P219" s="5">
        <f t="shared" si="3"/>
        <v>0</v>
      </c>
      <c r="Q219" s="5">
        <f t="shared" si="4"/>
        <v>0</v>
      </c>
      <c r="R219" s="5">
        <f t="shared" si="5"/>
        <v>1</v>
      </c>
      <c r="S219" s="2">
        <v>101032.52</v>
      </c>
      <c r="T219" s="2">
        <v>622892.42000000004</v>
      </c>
      <c r="U219" s="12">
        <f t="shared" si="12"/>
        <v>633674.00364659261</v>
      </c>
      <c r="V219">
        <f t="shared" si="13"/>
        <v>-10781.583646592568</v>
      </c>
    </row>
    <row r="220" spans="1:22" ht="14.25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5">
        <f t="shared" si="0"/>
        <v>1</v>
      </c>
      <c r="N220" s="5">
        <f t="shared" si="1"/>
        <v>0</v>
      </c>
      <c r="O220" s="5">
        <f t="shared" si="2"/>
        <v>0</v>
      </c>
      <c r="P220" s="5">
        <f t="shared" si="3"/>
        <v>0</v>
      </c>
      <c r="Q220" s="5">
        <f t="shared" si="4"/>
        <v>0</v>
      </c>
      <c r="R220" s="5">
        <f t="shared" si="5"/>
        <v>1</v>
      </c>
      <c r="S220" s="2">
        <v>69464.59</v>
      </c>
      <c r="T220" s="2">
        <v>673348.56</v>
      </c>
      <c r="U220" s="12">
        <f t="shared" si="12"/>
        <v>686212.54451857065</v>
      </c>
      <c r="V220">
        <f t="shared" si="13"/>
        <v>-12863.984518570593</v>
      </c>
    </row>
    <row r="221" spans="1:22" ht="14.25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5">
        <f t="shared" si="0"/>
        <v>1</v>
      </c>
      <c r="N221" s="5">
        <f t="shared" si="1"/>
        <v>0</v>
      </c>
      <c r="O221" s="5">
        <f t="shared" si="2"/>
        <v>0</v>
      </c>
      <c r="P221" s="5">
        <f t="shared" si="3"/>
        <v>0</v>
      </c>
      <c r="Q221" s="5">
        <f t="shared" si="4"/>
        <v>0</v>
      </c>
      <c r="R221" s="5">
        <f t="shared" si="5"/>
        <v>1</v>
      </c>
      <c r="S221" s="2">
        <v>102213.26</v>
      </c>
      <c r="T221" s="2">
        <v>606278.30000000005</v>
      </c>
      <c r="U221" s="12">
        <f t="shared" si="12"/>
        <v>596522.27638271032</v>
      </c>
      <c r="V221">
        <f t="shared" si="13"/>
        <v>9756.0236172897276</v>
      </c>
    </row>
    <row r="222" spans="1:22" ht="14.25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5">
        <f t="shared" si="0"/>
        <v>0</v>
      </c>
      <c r="N222" s="5">
        <f t="shared" si="1"/>
        <v>0</v>
      </c>
      <c r="O222" s="5">
        <f t="shared" si="2"/>
        <v>1</v>
      </c>
      <c r="P222" s="5">
        <f t="shared" si="3"/>
        <v>0</v>
      </c>
      <c r="Q222" s="5">
        <f t="shared" si="4"/>
        <v>1</v>
      </c>
      <c r="R222" s="5">
        <f t="shared" si="5"/>
        <v>0</v>
      </c>
      <c r="S222" s="2">
        <v>85906.54</v>
      </c>
      <c r="T222" s="2">
        <v>712219.81</v>
      </c>
      <c r="U222" s="12">
        <f t="shared" si="12"/>
        <v>674734.489875937</v>
      </c>
      <c r="V222">
        <f t="shared" si="13"/>
        <v>37485.320124063059</v>
      </c>
    </row>
    <row r="223" spans="1:22" ht="14.25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5">
        <f t="shared" si="0"/>
        <v>0</v>
      </c>
      <c r="N223" s="5">
        <f t="shared" si="1"/>
        <v>0</v>
      </c>
      <c r="O223" s="5">
        <f t="shared" si="2"/>
        <v>1</v>
      </c>
      <c r="P223" s="5">
        <f t="shared" si="3"/>
        <v>0</v>
      </c>
      <c r="Q223" s="5">
        <f t="shared" si="4"/>
        <v>1</v>
      </c>
      <c r="R223" s="5">
        <f t="shared" si="5"/>
        <v>0</v>
      </c>
      <c r="S223" s="2">
        <v>132684.18</v>
      </c>
      <c r="T223" s="2">
        <v>672670.54</v>
      </c>
      <c r="U223" s="12">
        <f t="shared" si="12"/>
        <v>619282.60025939706</v>
      </c>
      <c r="V223">
        <f t="shared" si="13"/>
        <v>53387.939740602975</v>
      </c>
    </row>
    <row r="224" spans="1:22" ht="14.25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5">
        <f t="shared" si="0"/>
        <v>0</v>
      </c>
      <c r="N224" s="5">
        <f t="shared" si="1"/>
        <v>0</v>
      </c>
      <c r="O224" s="5">
        <f t="shared" si="2"/>
        <v>1</v>
      </c>
      <c r="P224" s="5">
        <f t="shared" si="3"/>
        <v>0</v>
      </c>
      <c r="Q224" s="5">
        <f t="shared" si="4"/>
        <v>1</v>
      </c>
      <c r="R224" s="5">
        <f t="shared" si="5"/>
        <v>0</v>
      </c>
      <c r="S224" s="2">
        <v>128654.46</v>
      </c>
      <c r="T224" s="2">
        <v>732667.92</v>
      </c>
      <c r="U224" s="12">
        <f t="shared" si="12"/>
        <v>703537.69935008616</v>
      </c>
      <c r="V224">
        <f t="shared" si="13"/>
        <v>29130.220649913885</v>
      </c>
    </row>
    <row r="225" spans="1:22" ht="14.25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5">
        <f t="shared" si="0"/>
        <v>0</v>
      </c>
      <c r="N225" s="5">
        <f t="shared" si="1"/>
        <v>0</v>
      </c>
      <c r="O225" s="5">
        <f t="shared" si="2"/>
        <v>1</v>
      </c>
      <c r="P225" s="5">
        <f t="shared" si="3"/>
        <v>0</v>
      </c>
      <c r="Q225" s="5">
        <f t="shared" si="4"/>
        <v>1</v>
      </c>
      <c r="R225" s="5">
        <f t="shared" si="5"/>
        <v>0</v>
      </c>
      <c r="S225" s="2">
        <v>108794.85</v>
      </c>
      <c r="T225" s="2">
        <v>723531.4</v>
      </c>
      <c r="U225" s="12">
        <f t="shared" si="12"/>
        <v>717474.77719874692</v>
      </c>
      <c r="V225">
        <f t="shared" si="13"/>
        <v>6056.6228012531064</v>
      </c>
    </row>
    <row r="226" spans="1:22" ht="14.25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5">
        <f t="shared" si="0"/>
        <v>0</v>
      </c>
      <c r="N226" s="5">
        <f t="shared" si="1"/>
        <v>0</v>
      </c>
      <c r="O226" s="5">
        <f t="shared" si="2"/>
        <v>1</v>
      </c>
      <c r="P226" s="5">
        <f t="shared" si="3"/>
        <v>1</v>
      </c>
      <c r="Q226" s="5">
        <f t="shared" si="4"/>
        <v>0</v>
      </c>
      <c r="R226" s="5">
        <f t="shared" si="5"/>
        <v>0</v>
      </c>
      <c r="S226" s="2">
        <v>90468.96</v>
      </c>
      <c r="T226" s="2">
        <v>641564.6</v>
      </c>
      <c r="U226" s="12">
        <f t="shared" si="12"/>
        <v>706185.07146665116</v>
      </c>
      <c r="V226">
        <f t="shared" si="13"/>
        <v>-64620.471466651186</v>
      </c>
    </row>
    <row r="227" spans="1:22" ht="14.25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5">
        <f t="shared" si="0"/>
        <v>0</v>
      </c>
      <c r="N227" s="5">
        <f t="shared" si="1"/>
        <v>0</v>
      </c>
      <c r="O227" s="5">
        <f t="shared" si="2"/>
        <v>1</v>
      </c>
      <c r="P227" s="5">
        <f t="shared" si="3"/>
        <v>1</v>
      </c>
      <c r="Q227" s="5">
        <f t="shared" si="4"/>
        <v>0</v>
      </c>
      <c r="R227" s="5">
        <f t="shared" si="5"/>
        <v>0</v>
      </c>
      <c r="S227" s="2">
        <v>97917.45</v>
      </c>
      <c r="T227" s="2">
        <v>536545.49</v>
      </c>
      <c r="U227" s="12">
        <f t="shared" si="12"/>
        <v>682908.81140667782</v>
      </c>
      <c r="V227">
        <f t="shared" si="13"/>
        <v>-146363.32140667783</v>
      </c>
    </row>
    <row r="228" spans="1:22" ht="14.25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5">
        <f t="shared" si="0"/>
        <v>0</v>
      </c>
      <c r="N228" s="5">
        <f t="shared" si="1"/>
        <v>0</v>
      </c>
      <c r="O228" s="5">
        <f t="shared" si="2"/>
        <v>1</v>
      </c>
      <c r="P228" s="5">
        <f t="shared" si="3"/>
        <v>1</v>
      </c>
      <c r="Q228" s="5">
        <f t="shared" si="4"/>
        <v>0</v>
      </c>
      <c r="R228" s="5">
        <f t="shared" si="5"/>
        <v>0</v>
      </c>
      <c r="S228" s="2">
        <v>63153.05</v>
      </c>
      <c r="T228" s="2">
        <v>527681.56000000006</v>
      </c>
      <c r="U228" s="12">
        <f t="shared" si="12"/>
        <v>652624.76423826022</v>
      </c>
      <c r="V228">
        <f t="shared" si="13"/>
        <v>-124943.20423826016</v>
      </c>
    </row>
    <row r="229" spans="1:22" ht="14.25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4">
        <v>3.9</v>
      </c>
      <c r="M229" s="5">
        <f t="shared" si="0"/>
        <v>0</v>
      </c>
      <c r="N229" s="5">
        <f t="shared" si="1"/>
        <v>0</v>
      </c>
      <c r="O229" s="5">
        <f t="shared" si="2"/>
        <v>1</v>
      </c>
      <c r="P229" s="5">
        <f t="shared" si="3"/>
        <v>1</v>
      </c>
      <c r="Q229" s="5">
        <f t="shared" si="4"/>
        <v>0</v>
      </c>
      <c r="R229" s="5">
        <f t="shared" si="5"/>
        <v>0</v>
      </c>
      <c r="S229" s="2">
        <v>84334.33</v>
      </c>
      <c r="T229" s="2">
        <v>529598.93999999994</v>
      </c>
      <c r="U229" s="12">
        <f t="shared" si="12"/>
        <v>645017.56572633598</v>
      </c>
      <c r="V229">
        <f t="shared" si="13"/>
        <v>-115418.62572633603</v>
      </c>
    </row>
    <row r="230" spans="1:22" ht="14.25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5">
        <f t="shared" si="0"/>
        <v>0</v>
      </c>
      <c r="N230" s="5">
        <f t="shared" si="1"/>
        <v>0</v>
      </c>
      <c r="O230" s="5">
        <f t="shared" si="2"/>
        <v>1</v>
      </c>
      <c r="P230" s="5">
        <f t="shared" si="3"/>
        <v>0</v>
      </c>
      <c r="Q230" s="5">
        <f t="shared" si="4"/>
        <v>1</v>
      </c>
      <c r="R230" s="5">
        <f t="shared" si="5"/>
        <v>0</v>
      </c>
      <c r="S230" s="2">
        <v>87342.25</v>
      </c>
      <c r="T230" s="2">
        <v>570963.31000000006</v>
      </c>
      <c r="U230" s="12">
        <f t="shared" si="12"/>
        <v>640743.76157205855</v>
      </c>
      <c r="V230">
        <f t="shared" si="13"/>
        <v>-69780.45157205849</v>
      </c>
    </row>
    <row r="231" spans="1:22" ht="14.25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5">
        <f t="shared" si="0"/>
        <v>0</v>
      </c>
      <c r="N231" s="5">
        <f t="shared" si="1"/>
        <v>0</v>
      </c>
      <c r="O231" s="5">
        <f t="shared" si="2"/>
        <v>1</v>
      </c>
      <c r="P231" s="5">
        <f t="shared" si="3"/>
        <v>0</v>
      </c>
      <c r="Q231" s="5">
        <f t="shared" si="4"/>
        <v>1</v>
      </c>
      <c r="R231" s="5">
        <f t="shared" si="5"/>
        <v>0</v>
      </c>
      <c r="S231" s="2">
        <v>175282.74</v>
      </c>
      <c r="T231" s="2">
        <v>870937.4</v>
      </c>
      <c r="U231" s="12">
        <f t="shared" si="12"/>
        <v>802634.353605496</v>
      </c>
      <c r="V231">
        <f t="shared" si="13"/>
        <v>68303.046394504025</v>
      </c>
    </row>
    <row r="232" spans="1:22" ht="14.25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5">
        <f t="shared" si="0"/>
        <v>0</v>
      </c>
      <c r="N232" s="5">
        <f t="shared" si="1"/>
        <v>0</v>
      </c>
      <c r="O232" s="5">
        <f t="shared" si="2"/>
        <v>1</v>
      </c>
      <c r="P232" s="5">
        <f t="shared" si="3"/>
        <v>0</v>
      </c>
      <c r="Q232" s="5">
        <f t="shared" si="4"/>
        <v>1</v>
      </c>
      <c r="R232" s="5">
        <f t="shared" si="5"/>
        <v>0</v>
      </c>
      <c r="S232" s="2">
        <v>105669.51</v>
      </c>
      <c r="T232" s="2">
        <v>596969.27</v>
      </c>
      <c r="U232" s="12">
        <f t="shared" si="12"/>
        <v>631950.72764149343</v>
      </c>
      <c r="V232">
        <f t="shared" si="13"/>
        <v>-34981.457641493413</v>
      </c>
    </row>
    <row r="233" spans="1:22" ht="14.25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3.3650000000000002</v>
      </c>
      <c r="K233" s="2">
        <v>0</v>
      </c>
      <c r="L233" s="2">
        <v>3.7</v>
      </c>
      <c r="M233" s="5">
        <f t="shared" si="0"/>
        <v>0</v>
      </c>
      <c r="N233" s="5">
        <f t="shared" si="1"/>
        <v>0</v>
      </c>
      <c r="O233" s="5">
        <f t="shared" si="2"/>
        <v>1</v>
      </c>
      <c r="P233" s="5">
        <f t="shared" si="3"/>
        <v>0</v>
      </c>
      <c r="Q233" s="5">
        <f t="shared" si="4"/>
        <v>1</v>
      </c>
      <c r="R233" s="5">
        <f t="shared" si="5"/>
        <v>0</v>
      </c>
      <c r="S233" s="2">
        <v>153835.57</v>
      </c>
      <c r="T233" s="2">
        <v>647512.85</v>
      </c>
      <c r="U233" s="12">
        <f t="shared" si="12"/>
        <v>616366.1370840309</v>
      </c>
      <c r="V233">
        <f t="shared" si="13"/>
        <v>31146.712915969081</v>
      </c>
    </row>
    <row r="234" spans="1:22" ht="14.25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5">
        <f t="shared" si="0"/>
        <v>0</v>
      </c>
      <c r="N234" s="5">
        <f t="shared" si="1"/>
        <v>0</v>
      </c>
      <c r="O234" s="5">
        <f t="shared" si="2"/>
        <v>0</v>
      </c>
      <c r="P234" s="5">
        <f t="shared" si="3"/>
        <v>0</v>
      </c>
      <c r="Q234" s="5">
        <f t="shared" si="4"/>
        <v>0</v>
      </c>
      <c r="R234" s="5">
        <f t="shared" si="5"/>
        <v>0</v>
      </c>
      <c r="S234" s="2">
        <v>110595.89</v>
      </c>
      <c r="T234" s="2">
        <v>658072.14</v>
      </c>
      <c r="U234" s="12">
        <f t="shared" si="12"/>
        <v>661755.97874362906</v>
      </c>
      <c r="V234">
        <f t="shared" si="13"/>
        <v>-3683.8387436290504</v>
      </c>
    </row>
    <row r="235" spans="1:22" ht="14.25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5">
        <f t="shared" si="0"/>
        <v>0</v>
      </c>
      <c r="N235" s="5">
        <f t="shared" si="1"/>
        <v>0</v>
      </c>
      <c r="O235" s="5">
        <f t="shared" si="2"/>
        <v>0</v>
      </c>
      <c r="P235" s="5">
        <f t="shared" si="3"/>
        <v>0</v>
      </c>
      <c r="Q235" s="5">
        <f t="shared" si="4"/>
        <v>0</v>
      </c>
      <c r="R235" s="5">
        <f t="shared" si="5"/>
        <v>0</v>
      </c>
      <c r="S235" s="2">
        <v>128468.7</v>
      </c>
      <c r="T235" s="2">
        <v>723305.11</v>
      </c>
      <c r="U235" s="12">
        <f t="shared" si="12"/>
        <v>692283.48117987462</v>
      </c>
      <c r="V235">
        <f t="shared" si="13"/>
        <v>31021.628820125363</v>
      </c>
    </row>
    <row r="236" spans="1:22" ht="14.25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5">
        <f t="shared" si="0"/>
        <v>0</v>
      </c>
      <c r="N236" s="5">
        <f t="shared" si="1"/>
        <v>0</v>
      </c>
      <c r="O236" s="5">
        <f t="shared" si="2"/>
        <v>0</v>
      </c>
      <c r="P236" s="5">
        <f t="shared" si="3"/>
        <v>0</v>
      </c>
      <c r="Q236" s="5">
        <f t="shared" si="4"/>
        <v>0</v>
      </c>
      <c r="R236" s="5">
        <f t="shared" si="5"/>
        <v>0</v>
      </c>
      <c r="S236" s="2">
        <v>134919.16</v>
      </c>
      <c r="T236" s="2">
        <v>640666.53</v>
      </c>
      <c r="U236" s="12">
        <f t="shared" si="12"/>
        <v>694257.90319009381</v>
      </c>
      <c r="V236">
        <f t="shared" si="13"/>
        <v>-53591.373190093786</v>
      </c>
    </row>
    <row r="237" spans="1:22" ht="14.25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5">
        <f t="shared" si="0"/>
        <v>0</v>
      </c>
      <c r="N237" s="5">
        <f t="shared" si="1"/>
        <v>0</v>
      </c>
      <c r="O237" s="5">
        <f t="shared" si="2"/>
        <v>0</v>
      </c>
      <c r="P237" s="5">
        <f t="shared" si="3"/>
        <v>0</v>
      </c>
      <c r="Q237" s="5">
        <f t="shared" si="4"/>
        <v>0</v>
      </c>
      <c r="R237" s="5">
        <f t="shared" si="5"/>
        <v>0</v>
      </c>
      <c r="S237" s="2">
        <v>100140.8</v>
      </c>
      <c r="T237" s="2">
        <v>670629.48</v>
      </c>
      <c r="U237" s="12">
        <f t="shared" si="12"/>
        <v>663243.7444574415</v>
      </c>
      <c r="V237">
        <f t="shared" si="13"/>
        <v>7385.7355425584828</v>
      </c>
    </row>
    <row r="238" spans="1:22" ht="14.25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5">
        <f t="shared" si="0"/>
        <v>0</v>
      </c>
      <c r="N238" s="5">
        <f t="shared" si="1"/>
        <v>0</v>
      </c>
      <c r="O238" s="5">
        <f t="shared" si="2"/>
        <v>0</v>
      </c>
      <c r="P238" s="5">
        <f t="shared" si="3"/>
        <v>1</v>
      </c>
      <c r="Q238" s="5">
        <f t="shared" si="4"/>
        <v>0</v>
      </c>
      <c r="R238" s="5">
        <f t="shared" si="5"/>
        <v>0</v>
      </c>
      <c r="S238" s="2">
        <v>115295.05</v>
      </c>
      <c r="T238" s="2">
        <v>721079.35</v>
      </c>
      <c r="U238" s="12">
        <f t="shared" si="12"/>
        <v>660174.35637360939</v>
      </c>
      <c r="V238">
        <f t="shared" si="13"/>
        <v>60904.993626390584</v>
      </c>
    </row>
    <row r="239" spans="1:22" ht="14.25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5">
        <f t="shared" si="0"/>
        <v>0</v>
      </c>
      <c r="N239" s="5">
        <f t="shared" si="1"/>
        <v>0</v>
      </c>
      <c r="O239" s="5">
        <f t="shared" si="2"/>
        <v>0</v>
      </c>
      <c r="P239" s="5">
        <f t="shared" si="3"/>
        <v>1</v>
      </c>
      <c r="Q239" s="5">
        <f t="shared" si="4"/>
        <v>0</v>
      </c>
      <c r="R239" s="5">
        <f t="shared" si="5"/>
        <v>0</v>
      </c>
      <c r="S239" s="2">
        <v>131510</v>
      </c>
      <c r="T239" s="2">
        <v>810355.02</v>
      </c>
      <c r="U239" s="12">
        <f t="shared" si="12"/>
        <v>716247.98807436146</v>
      </c>
      <c r="V239">
        <f t="shared" si="13"/>
        <v>94107.031925638556</v>
      </c>
    </row>
    <row r="240" spans="1:22" ht="14.25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5">
        <f t="shared" si="0"/>
        <v>0</v>
      </c>
      <c r="N240" s="5">
        <f t="shared" si="1"/>
        <v>0</v>
      </c>
      <c r="O240" s="5">
        <f t="shared" si="2"/>
        <v>0</v>
      </c>
      <c r="P240" s="5">
        <f t="shared" si="3"/>
        <v>1</v>
      </c>
      <c r="Q240" s="5">
        <f t="shared" si="4"/>
        <v>0</v>
      </c>
      <c r="R240" s="5">
        <f t="shared" si="5"/>
        <v>0</v>
      </c>
      <c r="S240" s="2">
        <v>111893.06</v>
      </c>
      <c r="T240" s="2">
        <v>761919.25</v>
      </c>
      <c r="U240" s="12">
        <f t="shared" si="12"/>
        <v>686794.58290668053</v>
      </c>
      <c r="V240">
        <f t="shared" si="13"/>
        <v>75124.667093319469</v>
      </c>
    </row>
    <row r="241" spans="1:22" ht="14.25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5">
        <f t="shared" si="0"/>
        <v>0</v>
      </c>
      <c r="N241" s="5">
        <f t="shared" si="1"/>
        <v>0</v>
      </c>
      <c r="O241" s="5">
        <f t="shared" si="2"/>
        <v>0</v>
      </c>
      <c r="P241" s="5">
        <f t="shared" si="3"/>
        <v>1</v>
      </c>
      <c r="Q241" s="5">
        <f t="shared" si="4"/>
        <v>0</v>
      </c>
      <c r="R241" s="5">
        <f t="shared" si="5"/>
        <v>0</v>
      </c>
      <c r="S241" s="2">
        <v>117593.97</v>
      </c>
      <c r="T241" s="2">
        <v>737070.18</v>
      </c>
      <c r="U241" s="12">
        <f t="shared" si="12"/>
        <v>617277.20343396906</v>
      </c>
      <c r="V241">
        <f t="shared" si="13"/>
        <v>119792.97656603099</v>
      </c>
    </row>
    <row r="242" spans="1:22" ht="14.25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5">
        <f t="shared" si="0"/>
        <v>0</v>
      </c>
      <c r="N242" s="5">
        <f t="shared" si="1"/>
        <v>1</v>
      </c>
      <c r="O242" s="5">
        <f t="shared" si="2"/>
        <v>0</v>
      </c>
      <c r="P242" s="5">
        <f t="shared" si="3"/>
        <v>0</v>
      </c>
      <c r="Q242" s="5">
        <f t="shared" si="4"/>
        <v>0</v>
      </c>
      <c r="R242" s="5">
        <f t="shared" si="5"/>
        <v>1</v>
      </c>
      <c r="S242" s="2">
        <v>101598.32</v>
      </c>
      <c r="T242" s="2">
        <v>776992.93</v>
      </c>
      <c r="U242" s="12">
        <f t="shared" si="12"/>
        <v>709761.01006814931</v>
      </c>
      <c r="V242">
        <f t="shared" si="13"/>
        <v>67231.919931850745</v>
      </c>
    </row>
    <row r="243" spans="1:22" ht="14.25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5">
        <f t="shared" si="0"/>
        <v>0</v>
      </c>
      <c r="N243" s="5">
        <f t="shared" si="1"/>
        <v>1</v>
      </c>
      <c r="O243" s="5">
        <f t="shared" si="2"/>
        <v>0</v>
      </c>
      <c r="P243" s="5">
        <f t="shared" si="3"/>
        <v>0</v>
      </c>
      <c r="Q243" s="5">
        <f t="shared" si="4"/>
        <v>0</v>
      </c>
      <c r="R243" s="5">
        <f t="shared" si="5"/>
        <v>1</v>
      </c>
      <c r="S243" s="2">
        <v>104355.77</v>
      </c>
      <c r="T243" s="2">
        <v>676337.41</v>
      </c>
      <c r="U243" s="12">
        <f t="shared" si="12"/>
        <v>671374.01903823763</v>
      </c>
      <c r="V243">
        <f t="shared" si="13"/>
        <v>4963.3909617624013</v>
      </c>
    </row>
    <row r="244" spans="1:22" ht="14.25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5">
        <f t="shared" si="0"/>
        <v>0</v>
      </c>
      <c r="N244" s="5">
        <f t="shared" si="1"/>
        <v>1</v>
      </c>
      <c r="O244" s="5">
        <f t="shared" si="2"/>
        <v>0</v>
      </c>
      <c r="P244" s="5">
        <f t="shared" si="3"/>
        <v>0</v>
      </c>
      <c r="Q244" s="5">
        <f t="shared" si="4"/>
        <v>0</v>
      </c>
      <c r="R244" s="5">
        <f t="shared" si="5"/>
        <v>1</v>
      </c>
      <c r="S244" s="2">
        <v>179806.87</v>
      </c>
      <c r="T244" s="2">
        <v>828219.67</v>
      </c>
      <c r="U244" s="12">
        <f t="shared" si="12"/>
        <v>711666.78748105199</v>
      </c>
      <c r="V244">
        <f t="shared" si="13"/>
        <v>116552.88251894806</v>
      </c>
    </row>
    <row r="245" spans="1:22" ht="14.25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5">
        <f t="shared" si="0"/>
        <v>0</v>
      </c>
      <c r="N245" s="5">
        <f t="shared" si="1"/>
        <v>1</v>
      </c>
      <c r="O245" s="5">
        <f t="shared" si="2"/>
        <v>0</v>
      </c>
      <c r="P245" s="5">
        <f t="shared" si="3"/>
        <v>0</v>
      </c>
      <c r="Q245" s="5">
        <f t="shared" si="4"/>
        <v>0</v>
      </c>
      <c r="R245" s="5">
        <f t="shared" si="5"/>
        <v>1</v>
      </c>
      <c r="S245" s="2">
        <v>177104.87</v>
      </c>
      <c r="T245" s="2">
        <v>763159.92</v>
      </c>
      <c r="U245" s="12">
        <f t="shared" si="12"/>
        <v>675112.9038119457</v>
      </c>
      <c r="V245">
        <f t="shared" si="13"/>
        <v>88047.016188054346</v>
      </c>
    </row>
    <row r="246" spans="1:22" ht="14.25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5">
        <f t="shared" si="0"/>
        <v>0</v>
      </c>
      <c r="N246" s="5">
        <f t="shared" si="1"/>
        <v>0</v>
      </c>
      <c r="O246" s="5">
        <f t="shared" si="2"/>
        <v>1</v>
      </c>
      <c r="P246" s="5">
        <f t="shared" si="3"/>
        <v>0</v>
      </c>
      <c r="Q246" s="5">
        <f t="shared" si="4"/>
        <v>1</v>
      </c>
      <c r="R246" s="5">
        <f t="shared" si="5"/>
        <v>0</v>
      </c>
      <c r="S246" s="2">
        <v>159715.82</v>
      </c>
      <c r="T246" s="2">
        <v>802001.68</v>
      </c>
      <c r="U246" s="12">
        <f t="shared" si="12"/>
        <v>724680.78617524414</v>
      </c>
      <c r="V246">
        <f t="shared" si="13"/>
        <v>77320.893824755913</v>
      </c>
    </row>
    <row r="247" spans="1:22" ht="14.25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5">
        <f t="shared" si="0"/>
        <v>0</v>
      </c>
      <c r="N247" s="5">
        <f t="shared" si="1"/>
        <v>0</v>
      </c>
      <c r="O247" s="5">
        <f t="shared" si="2"/>
        <v>1</v>
      </c>
      <c r="P247" s="5">
        <f t="shared" si="3"/>
        <v>0</v>
      </c>
      <c r="Q247" s="5">
        <f t="shared" si="4"/>
        <v>1</v>
      </c>
      <c r="R247" s="5">
        <f t="shared" si="5"/>
        <v>0</v>
      </c>
      <c r="S247" s="2">
        <v>133788.04</v>
      </c>
      <c r="T247" s="2">
        <v>750471.34</v>
      </c>
      <c r="U247" s="12">
        <f t="shared" si="12"/>
        <v>663490.86500778061</v>
      </c>
      <c r="V247">
        <f t="shared" si="13"/>
        <v>86980.474992219359</v>
      </c>
    </row>
    <row r="248" spans="1:22" ht="14.25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5">
        <f t="shared" si="0"/>
        <v>0</v>
      </c>
      <c r="N248" s="5">
        <f t="shared" si="1"/>
        <v>0</v>
      </c>
      <c r="O248" s="5">
        <f t="shared" si="2"/>
        <v>1</v>
      </c>
      <c r="P248" s="5">
        <f t="shared" si="3"/>
        <v>0</v>
      </c>
      <c r="Q248" s="5">
        <f t="shared" si="4"/>
        <v>1</v>
      </c>
      <c r="R248" s="5">
        <f t="shared" si="5"/>
        <v>0</v>
      </c>
      <c r="S248" s="2">
        <v>106927.58</v>
      </c>
      <c r="T248" s="2">
        <v>679230.86</v>
      </c>
      <c r="U248" s="12">
        <f t="shared" si="12"/>
        <v>683256.39883370639</v>
      </c>
      <c r="V248">
        <f t="shared" si="13"/>
        <v>-4025.5388337064069</v>
      </c>
    </row>
    <row r="249" spans="1:22" ht="14.25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5">
        <f t="shared" si="0"/>
        <v>0</v>
      </c>
      <c r="N249" s="5">
        <f t="shared" si="1"/>
        <v>0</v>
      </c>
      <c r="O249" s="5">
        <f t="shared" si="2"/>
        <v>1</v>
      </c>
      <c r="P249" s="5">
        <f t="shared" si="3"/>
        <v>0</v>
      </c>
      <c r="Q249" s="5">
        <f t="shared" si="4"/>
        <v>1</v>
      </c>
      <c r="R249" s="5">
        <f t="shared" si="5"/>
        <v>0</v>
      </c>
      <c r="S249" s="2">
        <v>83406.89</v>
      </c>
      <c r="T249" s="2">
        <v>679888.74</v>
      </c>
      <c r="U249" s="12">
        <f t="shared" si="12"/>
        <v>607294.24507016991</v>
      </c>
      <c r="V249">
        <f t="shared" si="13"/>
        <v>72594.494929830078</v>
      </c>
    </row>
    <row r="250" spans="1:22" ht="14.25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3.3650000000000002</v>
      </c>
      <c r="K250" s="2">
        <v>0</v>
      </c>
      <c r="L250" s="2">
        <v>3.8</v>
      </c>
      <c r="M250" s="5">
        <f t="shared" si="0"/>
        <v>1</v>
      </c>
      <c r="N250" s="5">
        <f t="shared" si="1"/>
        <v>0</v>
      </c>
      <c r="O250" s="5">
        <f t="shared" si="2"/>
        <v>0</v>
      </c>
      <c r="P250" s="5">
        <f t="shared" si="3"/>
        <v>0</v>
      </c>
      <c r="Q250" s="5">
        <f t="shared" si="4"/>
        <v>1</v>
      </c>
      <c r="R250" s="5">
        <f t="shared" si="5"/>
        <v>0</v>
      </c>
      <c r="S250" s="2">
        <v>74515.87</v>
      </c>
      <c r="T250" s="2">
        <v>606783.67000000004</v>
      </c>
      <c r="U250" s="12">
        <f t="shared" si="12"/>
        <v>648369.75260182831</v>
      </c>
      <c r="V250">
        <f t="shared" si="13"/>
        <v>-41586.082601828268</v>
      </c>
    </row>
    <row r="251" spans="1:22" ht="14.25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5">
        <f t="shared" si="0"/>
        <v>1</v>
      </c>
      <c r="N251" s="5">
        <f t="shared" si="1"/>
        <v>0</v>
      </c>
      <c r="O251" s="5">
        <f t="shared" si="2"/>
        <v>0</v>
      </c>
      <c r="P251" s="5">
        <f t="shared" si="3"/>
        <v>0</v>
      </c>
      <c r="Q251" s="5">
        <f t="shared" si="4"/>
        <v>1</v>
      </c>
      <c r="R251" s="5">
        <f t="shared" si="5"/>
        <v>0</v>
      </c>
      <c r="S251" s="2">
        <v>131942.15</v>
      </c>
      <c r="T251" s="2">
        <v>642751.42000000004</v>
      </c>
      <c r="U251" s="12">
        <f t="shared" si="12"/>
        <v>716185.69945827802</v>
      </c>
      <c r="V251">
        <f t="shared" si="13"/>
        <v>-73434.279458277975</v>
      </c>
    </row>
    <row r="252" spans="1:22" ht="14.25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5">
        <f t="shared" si="0"/>
        <v>1</v>
      </c>
      <c r="N252" s="5">
        <f t="shared" si="1"/>
        <v>0</v>
      </c>
      <c r="O252" s="5">
        <f t="shared" si="2"/>
        <v>0</v>
      </c>
      <c r="P252" s="5">
        <f t="shared" si="3"/>
        <v>0</v>
      </c>
      <c r="Q252" s="5">
        <f t="shared" si="4"/>
        <v>1</v>
      </c>
      <c r="R252" s="5">
        <f t="shared" si="5"/>
        <v>0</v>
      </c>
      <c r="S252" s="2">
        <v>118497.43</v>
      </c>
      <c r="T252" s="2">
        <v>647953.78</v>
      </c>
      <c r="U252" s="12">
        <f t="shared" si="12"/>
        <v>642942.29548055318</v>
      </c>
      <c r="V252">
        <f t="shared" si="13"/>
        <v>5011.4845194468508</v>
      </c>
    </row>
    <row r="253" spans="1:22" ht="14.25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5">
        <f t="shared" si="0"/>
        <v>1</v>
      </c>
      <c r="N253" s="5">
        <f t="shared" si="1"/>
        <v>0</v>
      </c>
      <c r="O253" s="5">
        <f t="shared" si="2"/>
        <v>0</v>
      </c>
      <c r="P253" s="5">
        <f t="shared" si="3"/>
        <v>0</v>
      </c>
      <c r="Q253" s="5">
        <f t="shared" si="4"/>
        <v>1</v>
      </c>
      <c r="R253" s="5">
        <f t="shared" si="5"/>
        <v>0</v>
      </c>
      <c r="S253" s="2">
        <v>87614.29</v>
      </c>
      <c r="T253" s="2">
        <v>729440.45</v>
      </c>
      <c r="U253" s="12">
        <f t="shared" si="12"/>
        <v>768195.40150506631</v>
      </c>
      <c r="V253">
        <f t="shared" si="13"/>
        <v>-38754.951505066361</v>
      </c>
    </row>
    <row r="254" spans="1:22" ht="14.25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5">
        <f t="shared" si="0"/>
        <v>0</v>
      </c>
      <c r="N254" s="5">
        <f t="shared" si="1"/>
        <v>1</v>
      </c>
      <c r="O254" s="5">
        <f t="shared" si="2"/>
        <v>0</v>
      </c>
      <c r="P254" s="5">
        <f t="shared" si="3"/>
        <v>0</v>
      </c>
      <c r="Q254" s="5">
        <f t="shared" si="4"/>
        <v>0</v>
      </c>
      <c r="R254" s="5">
        <f t="shared" si="5"/>
        <v>1</v>
      </c>
      <c r="S254" s="2">
        <v>148322.43</v>
      </c>
      <c r="T254" s="2">
        <v>764949</v>
      </c>
      <c r="U254" s="12">
        <f t="shared" si="12"/>
        <v>734976.62830853974</v>
      </c>
      <c r="V254">
        <f t="shared" si="13"/>
        <v>29972.371691460256</v>
      </c>
    </row>
    <row r="255" spans="1:22" ht="14.25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5">
        <f t="shared" si="0"/>
        <v>0</v>
      </c>
      <c r="N255" s="5">
        <f t="shared" si="1"/>
        <v>1</v>
      </c>
      <c r="O255" s="5">
        <f t="shared" si="2"/>
        <v>0</v>
      </c>
      <c r="P255" s="5">
        <f t="shared" si="3"/>
        <v>0</v>
      </c>
      <c r="Q255" s="5">
        <f t="shared" si="4"/>
        <v>0</v>
      </c>
      <c r="R255" s="5">
        <f t="shared" si="5"/>
        <v>1</v>
      </c>
      <c r="S255" s="2">
        <v>144553.64000000001</v>
      </c>
      <c r="T255" s="2">
        <v>799046.94</v>
      </c>
      <c r="U255" s="12">
        <f t="shared" si="12"/>
        <v>696375.29240484722</v>
      </c>
      <c r="V255">
        <f t="shared" si="13"/>
        <v>102671.64759515272</v>
      </c>
    </row>
    <row r="256" spans="1:22" ht="14.25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5">
        <f t="shared" si="0"/>
        <v>0</v>
      </c>
      <c r="N256" s="5">
        <f t="shared" si="1"/>
        <v>1</v>
      </c>
      <c r="O256" s="5">
        <f t="shared" si="2"/>
        <v>0</v>
      </c>
      <c r="P256" s="5">
        <f t="shared" si="3"/>
        <v>0</v>
      </c>
      <c r="Q256" s="5">
        <f t="shared" si="4"/>
        <v>0</v>
      </c>
      <c r="R256" s="5">
        <f t="shared" si="5"/>
        <v>1</v>
      </c>
      <c r="S256" s="2">
        <v>119499.47</v>
      </c>
      <c r="T256" s="2">
        <v>720079.54</v>
      </c>
      <c r="U256" s="12">
        <f t="shared" si="12"/>
        <v>721440.37982303614</v>
      </c>
      <c r="V256">
        <f t="shared" si="13"/>
        <v>-1360.8398230361054</v>
      </c>
    </row>
    <row r="257" spans="1:22" ht="14.25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5">
        <f t="shared" si="0"/>
        <v>0</v>
      </c>
      <c r="N257" s="5">
        <f t="shared" si="1"/>
        <v>1</v>
      </c>
      <c r="O257" s="5">
        <f t="shared" si="2"/>
        <v>0</v>
      </c>
      <c r="P257" s="5">
        <f t="shared" si="3"/>
        <v>0</v>
      </c>
      <c r="Q257" s="5">
        <f t="shared" si="4"/>
        <v>0</v>
      </c>
      <c r="R257" s="5">
        <f t="shared" si="5"/>
        <v>1</v>
      </c>
      <c r="S257" s="2">
        <v>108985.74</v>
      </c>
      <c r="T257" s="2">
        <v>612390.14</v>
      </c>
      <c r="U257" s="12">
        <f t="shared" si="12"/>
        <v>638552.74890802288</v>
      </c>
      <c r="V257">
        <f t="shared" si="13"/>
        <v>-26162.60890802287</v>
      </c>
    </row>
    <row r="258" spans="1:22" ht="14.25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5">
        <f t="shared" si="0"/>
        <v>0</v>
      </c>
      <c r="N258" s="5">
        <f t="shared" si="1"/>
        <v>1</v>
      </c>
      <c r="O258" s="5">
        <f t="shared" si="2"/>
        <v>0</v>
      </c>
      <c r="P258" s="5">
        <f t="shared" si="3"/>
        <v>1</v>
      </c>
      <c r="Q258" s="5">
        <f t="shared" si="4"/>
        <v>0</v>
      </c>
      <c r="R258" s="5">
        <f t="shared" si="5"/>
        <v>0</v>
      </c>
      <c r="S258" s="2">
        <v>126587.01</v>
      </c>
      <c r="T258" s="2">
        <v>840108.12</v>
      </c>
      <c r="U258" s="12">
        <f t="shared" si="12"/>
        <v>699956.82426983037</v>
      </c>
      <c r="V258">
        <f t="shared" si="13"/>
        <v>140151.29573016963</v>
      </c>
    </row>
    <row r="259" spans="1:22" ht="14.25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5">
        <f t="shared" si="0"/>
        <v>0</v>
      </c>
      <c r="N259" s="5">
        <f t="shared" si="1"/>
        <v>1</v>
      </c>
      <c r="O259" s="5">
        <f t="shared" si="2"/>
        <v>0</v>
      </c>
      <c r="P259" s="5">
        <f t="shared" si="3"/>
        <v>1</v>
      </c>
      <c r="Q259" s="5">
        <f t="shared" si="4"/>
        <v>0</v>
      </c>
      <c r="R259" s="5">
        <f t="shared" si="5"/>
        <v>0</v>
      </c>
      <c r="S259" s="2">
        <v>116249.87</v>
      </c>
      <c r="T259" s="2">
        <v>697888.09</v>
      </c>
      <c r="U259" s="12">
        <f t="shared" ref="U259:U321" si="14">561666.3931+(2.118660411*E259)</f>
        <v>622409.29810734675</v>
      </c>
      <c r="V259">
        <f t="shared" ref="V259:V321" si="15">T259-U259</f>
        <v>75478.791892653215</v>
      </c>
    </row>
    <row r="260" spans="1:22" ht="14.25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5">
        <f t="shared" si="0"/>
        <v>0</v>
      </c>
      <c r="N260" s="5">
        <f t="shared" si="1"/>
        <v>1</v>
      </c>
      <c r="O260" s="5">
        <f t="shared" si="2"/>
        <v>0</v>
      </c>
      <c r="P260" s="5">
        <f t="shared" si="3"/>
        <v>1</v>
      </c>
      <c r="Q260" s="5">
        <f t="shared" si="4"/>
        <v>0</v>
      </c>
      <c r="R260" s="5">
        <f t="shared" si="5"/>
        <v>0</v>
      </c>
      <c r="S260" s="2">
        <v>94662.96</v>
      </c>
      <c r="T260" s="2">
        <v>746115.59</v>
      </c>
      <c r="U260" s="12">
        <f t="shared" si="14"/>
        <v>655288.5983462187</v>
      </c>
      <c r="V260">
        <f t="shared" si="15"/>
        <v>90826.991653781268</v>
      </c>
    </row>
    <row r="261" spans="1:22" ht="14.25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5">
        <f t="shared" si="0"/>
        <v>0</v>
      </c>
      <c r="N261" s="5">
        <f t="shared" si="1"/>
        <v>1</v>
      </c>
      <c r="O261" s="5">
        <f t="shared" si="2"/>
        <v>0</v>
      </c>
      <c r="P261" s="5">
        <f t="shared" si="3"/>
        <v>1</v>
      </c>
      <c r="Q261" s="5">
        <f t="shared" si="4"/>
        <v>0</v>
      </c>
      <c r="R261" s="5">
        <f t="shared" si="5"/>
        <v>0</v>
      </c>
      <c r="S261" s="2">
        <v>139676.21</v>
      </c>
      <c r="T261" s="2">
        <v>776110.32</v>
      </c>
      <c r="U261" s="12">
        <f t="shared" si="14"/>
        <v>643018.33420270402</v>
      </c>
      <c r="V261">
        <f t="shared" si="15"/>
        <v>133091.98579729593</v>
      </c>
    </row>
    <row r="262" spans="1:22" ht="14.25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5">
        <f t="shared" si="0"/>
        <v>0</v>
      </c>
      <c r="N262" s="5">
        <f t="shared" si="1"/>
        <v>0</v>
      </c>
      <c r="O262" s="5">
        <f t="shared" si="2"/>
        <v>0</v>
      </c>
      <c r="P262" s="5">
        <f t="shared" si="3"/>
        <v>0</v>
      </c>
      <c r="Q262" s="5">
        <f t="shared" si="4"/>
        <v>1</v>
      </c>
      <c r="R262" s="5">
        <f t="shared" si="5"/>
        <v>0</v>
      </c>
      <c r="S262" s="2">
        <v>68426.210000000006</v>
      </c>
      <c r="T262" s="2">
        <v>528852.62</v>
      </c>
      <c r="U262" s="12">
        <f t="shared" si="14"/>
        <v>592428.00751166104</v>
      </c>
      <c r="V262">
        <f t="shared" si="15"/>
        <v>-63575.387511661043</v>
      </c>
    </row>
    <row r="263" spans="1:22" ht="14.25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3.3650000000000002</v>
      </c>
      <c r="K263" s="2">
        <v>0</v>
      </c>
      <c r="L263" s="2">
        <v>4.2</v>
      </c>
      <c r="M263" s="5">
        <f t="shared" si="0"/>
        <v>0</v>
      </c>
      <c r="N263" s="5">
        <f t="shared" si="1"/>
        <v>0</v>
      </c>
      <c r="O263" s="5">
        <f t="shared" si="2"/>
        <v>0</v>
      </c>
      <c r="P263" s="5">
        <f t="shared" si="3"/>
        <v>0</v>
      </c>
      <c r="Q263" s="5">
        <f t="shared" si="4"/>
        <v>1</v>
      </c>
      <c r="R263" s="5">
        <f t="shared" si="5"/>
        <v>0</v>
      </c>
      <c r="S263" s="2">
        <v>60685.53</v>
      </c>
      <c r="T263" s="2">
        <v>605751.32999999996</v>
      </c>
      <c r="U263" s="12">
        <f t="shared" si="14"/>
        <v>653379.38870345021</v>
      </c>
      <c r="V263">
        <f t="shared" si="15"/>
        <v>-47628.058703450253</v>
      </c>
    </row>
    <row r="264" spans="1:22" ht="14.25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5">
        <f t="shared" si="0"/>
        <v>0</v>
      </c>
      <c r="N264" s="5">
        <f t="shared" si="1"/>
        <v>0</v>
      </c>
      <c r="O264" s="5">
        <f t="shared" si="2"/>
        <v>0</v>
      </c>
      <c r="P264" s="5">
        <f t="shared" si="3"/>
        <v>0</v>
      </c>
      <c r="Q264" s="5">
        <f t="shared" si="4"/>
        <v>1</v>
      </c>
      <c r="R264" s="5">
        <f t="shared" si="5"/>
        <v>0</v>
      </c>
      <c r="S264" s="2">
        <v>111610.89</v>
      </c>
      <c r="T264" s="2">
        <v>677640.65</v>
      </c>
      <c r="U264" s="12">
        <f t="shared" si="14"/>
        <v>670672.63650917599</v>
      </c>
      <c r="V264">
        <f t="shared" si="15"/>
        <v>6968.0134908240288</v>
      </c>
    </row>
    <row r="265" spans="1:22" ht="14.25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5">
        <f t="shared" si="0"/>
        <v>0</v>
      </c>
      <c r="N265" s="5">
        <f t="shared" si="1"/>
        <v>0</v>
      </c>
      <c r="O265" s="5">
        <f t="shared" si="2"/>
        <v>0</v>
      </c>
      <c r="P265" s="5">
        <f t="shared" si="3"/>
        <v>0</v>
      </c>
      <c r="Q265" s="5">
        <f t="shared" si="4"/>
        <v>1</v>
      </c>
      <c r="R265" s="5">
        <f t="shared" si="5"/>
        <v>0</v>
      </c>
      <c r="S265" s="2">
        <v>78908.350000000006</v>
      </c>
      <c r="T265" s="2">
        <v>636613.23</v>
      </c>
      <c r="U265" s="12">
        <f t="shared" si="14"/>
        <v>686006.88615247491</v>
      </c>
      <c r="V265">
        <f t="shared" si="15"/>
        <v>-49393.656152474927</v>
      </c>
    </row>
    <row r="266" spans="1:22" ht="14.25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5">
        <f t="shared" si="0"/>
        <v>0</v>
      </c>
      <c r="N266" s="5">
        <f t="shared" si="1"/>
        <v>0</v>
      </c>
      <c r="O266" s="5">
        <f t="shared" si="2"/>
        <v>1</v>
      </c>
      <c r="P266" s="5">
        <f t="shared" si="3"/>
        <v>0</v>
      </c>
      <c r="Q266" s="5">
        <f t="shared" si="4"/>
        <v>1</v>
      </c>
      <c r="R266" s="5">
        <f t="shared" si="5"/>
        <v>0</v>
      </c>
      <c r="S266" s="2">
        <v>125368.16</v>
      </c>
      <c r="T266" s="2">
        <v>708985.19</v>
      </c>
      <c r="U266" s="12">
        <f t="shared" si="14"/>
        <v>686629.03078216501</v>
      </c>
      <c r="V266">
        <f t="shared" si="15"/>
        <v>22356.159217834938</v>
      </c>
    </row>
    <row r="267" spans="1:22" ht="14.25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5">
        <f t="shared" si="0"/>
        <v>0</v>
      </c>
      <c r="N267" s="5">
        <f t="shared" si="1"/>
        <v>0</v>
      </c>
      <c r="O267" s="5">
        <f t="shared" si="2"/>
        <v>1</v>
      </c>
      <c r="P267" s="5">
        <f t="shared" si="3"/>
        <v>0</v>
      </c>
      <c r="Q267" s="5">
        <f t="shared" si="4"/>
        <v>1</v>
      </c>
      <c r="R267" s="5">
        <f t="shared" si="5"/>
        <v>0</v>
      </c>
      <c r="S267" s="2">
        <v>96235.77</v>
      </c>
      <c r="T267" s="2">
        <v>767792.94</v>
      </c>
      <c r="U267" s="12">
        <f t="shared" si="14"/>
        <v>717291.61900621594</v>
      </c>
      <c r="V267">
        <f t="shared" si="15"/>
        <v>50501.320993784</v>
      </c>
    </row>
    <row r="268" spans="1:22" ht="14.25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5">
        <f t="shared" si="0"/>
        <v>0</v>
      </c>
      <c r="N268" s="5">
        <f t="shared" si="1"/>
        <v>0</v>
      </c>
      <c r="O268" s="5">
        <f t="shared" si="2"/>
        <v>1</v>
      </c>
      <c r="P268" s="5">
        <f t="shared" si="3"/>
        <v>0</v>
      </c>
      <c r="Q268" s="5">
        <f t="shared" si="4"/>
        <v>1</v>
      </c>
      <c r="R268" s="5">
        <f t="shared" si="5"/>
        <v>0</v>
      </c>
      <c r="S268" s="2">
        <v>116273.68</v>
      </c>
      <c r="T268" s="2">
        <v>745580.51</v>
      </c>
      <c r="U268" s="12">
        <f t="shared" si="14"/>
        <v>681587.6359609823</v>
      </c>
      <c r="V268">
        <f t="shared" si="15"/>
        <v>63992.874039017712</v>
      </c>
    </row>
    <row r="269" spans="1:22" ht="14.25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5">
        <f t="shared" si="0"/>
        <v>0</v>
      </c>
      <c r="N269" s="5">
        <f t="shared" si="1"/>
        <v>0</v>
      </c>
      <c r="O269" s="5">
        <f t="shared" si="2"/>
        <v>1</v>
      </c>
      <c r="P269" s="5">
        <f t="shared" si="3"/>
        <v>0</v>
      </c>
      <c r="Q269" s="5">
        <f t="shared" si="4"/>
        <v>1</v>
      </c>
      <c r="R269" s="5">
        <f t="shared" si="5"/>
        <v>0</v>
      </c>
      <c r="S269" s="2">
        <v>159158.19</v>
      </c>
      <c r="T269" s="2">
        <v>762328.31</v>
      </c>
      <c r="U269" s="12">
        <f t="shared" si="14"/>
        <v>705146.92786526121</v>
      </c>
      <c r="V269">
        <f t="shared" si="15"/>
        <v>57181.382134738844</v>
      </c>
    </row>
    <row r="270" spans="1:22" ht="14.25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5">
        <f t="shared" si="0"/>
        <v>0</v>
      </c>
      <c r="N270" s="5">
        <f t="shared" si="1"/>
        <v>0</v>
      </c>
      <c r="O270" s="5">
        <f t="shared" si="2"/>
        <v>1</v>
      </c>
      <c r="P270" s="5">
        <f t="shared" si="3"/>
        <v>1</v>
      </c>
      <c r="Q270" s="5">
        <f t="shared" si="4"/>
        <v>0</v>
      </c>
      <c r="R270" s="5">
        <f t="shared" si="5"/>
        <v>0</v>
      </c>
      <c r="S270" s="2">
        <v>118768.66</v>
      </c>
      <c r="T270" s="2">
        <v>660633.99</v>
      </c>
      <c r="U270" s="12">
        <f t="shared" si="14"/>
        <v>664957.27462465013</v>
      </c>
      <c r="V270">
        <f t="shared" si="15"/>
        <v>-4323.2846246501431</v>
      </c>
    </row>
    <row r="271" spans="1:22" ht="14.25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5">
        <f t="shared" si="0"/>
        <v>0</v>
      </c>
      <c r="N271" s="5">
        <f t="shared" si="1"/>
        <v>0</v>
      </c>
      <c r="O271" s="5">
        <f t="shared" si="2"/>
        <v>1</v>
      </c>
      <c r="P271" s="5">
        <f t="shared" si="3"/>
        <v>1</v>
      </c>
      <c r="Q271" s="5">
        <f t="shared" si="4"/>
        <v>0</v>
      </c>
      <c r="R271" s="5">
        <f t="shared" si="5"/>
        <v>0</v>
      </c>
      <c r="S271" s="2">
        <v>121032.29</v>
      </c>
      <c r="T271" s="2">
        <v>739374.56</v>
      </c>
      <c r="U271" s="12">
        <f t="shared" si="14"/>
        <v>612334.09326925268</v>
      </c>
      <c r="V271">
        <f t="shared" si="15"/>
        <v>127040.46673074737</v>
      </c>
    </row>
    <row r="272" spans="1:22" ht="14.25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5">
        <f t="shared" si="0"/>
        <v>0</v>
      </c>
      <c r="N272" s="5">
        <f t="shared" si="1"/>
        <v>0</v>
      </c>
      <c r="O272" s="5">
        <f t="shared" si="2"/>
        <v>1</v>
      </c>
      <c r="P272" s="5">
        <f t="shared" si="3"/>
        <v>1</v>
      </c>
      <c r="Q272" s="5">
        <f t="shared" si="4"/>
        <v>0</v>
      </c>
      <c r="R272" s="5">
        <f t="shared" si="5"/>
        <v>0</v>
      </c>
      <c r="S272" s="2">
        <v>105052.93</v>
      </c>
      <c r="T272" s="2">
        <v>799756.46</v>
      </c>
      <c r="U272" s="12">
        <f t="shared" si="14"/>
        <v>693013.38087806827</v>
      </c>
      <c r="V272">
        <f t="shared" si="15"/>
        <v>106743.07912193169</v>
      </c>
    </row>
    <row r="273" spans="1:22" ht="14.25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5">
        <f t="shared" si="0"/>
        <v>0</v>
      </c>
      <c r="N273" s="5">
        <f t="shared" si="1"/>
        <v>0</v>
      </c>
      <c r="O273" s="5">
        <f t="shared" si="2"/>
        <v>1</v>
      </c>
      <c r="P273" s="5">
        <f t="shared" si="3"/>
        <v>1</v>
      </c>
      <c r="Q273" s="5">
        <f t="shared" si="4"/>
        <v>0</v>
      </c>
      <c r="R273" s="5">
        <f t="shared" si="5"/>
        <v>0</v>
      </c>
      <c r="S273" s="2">
        <v>82832.240000000005</v>
      </c>
      <c r="T273" s="2">
        <v>593343</v>
      </c>
      <c r="U273" s="12">
        <f t="shared" si="14"/>
        <v>623838.33455456619</v>
      </c>
      <c r="V273">
        <f t="shared" si="15"/>
        <v>-30495.334554566187</v>
      </c>
    </row>
    <row r="274" spans="1:22" ht="14.25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5">
        <f t="shared" si="0"/>
        <v>0</v>
      </c>
      <c r="N274" s="5">
        <f t="shared" si="1"/>
        <v>0</v>
      </c>
      <c r="O274" s="5">
        <f t="shared" si="2"/>
        <v>0</v>
      </c>
      <c r="P274" s="5">
        <f t="shared" si="3"/>
        <v>0</v>
      </c>
      <c r="Q274" s="5">
        <f t="shared" si="4"/>
        <v>1</v>
      </c>
      <c r="R274" s="5">
        <f t="shared" si="5"/>
        <v>0</v>
      </c>
      <c r="S274" s="2">
        <v>83093.33</v>
      </c>
      <c r="T274" s="2">
        <v>645039.97</v>
      </c>
      <c r="U274" s="12">
        <f t="shared" si="14"/>
        <v>668726.9011609219</v>
      </c>
      <c r="V274">
        <f t="shared" si="15"/>
        <v>-23686.931160921929</v>
      </c>
    </row>
    <row r="275" spans="1:22" ht="14.25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5">
        <f t="shared" si="0"/>
        <v>0</v>
      </c>
      <c r="N275" s="5">
        <f t="shared" si="1"/>
        <v>0</v>
      </c>
      <c r="O275" s="5">
        <f t="shared" si="2"/>
        <v>0</v>
      </c>
      <c r="P275" s="5">
        <f t="shared" si="3"/>
        <v>0</v>
      </c>
      <c r="Q275" s="5">
        <f t="shared" si="4"/>
        <v>1</v>
      </c>
      <c r="R275" s="5">
        <f t="shared" si="5"/>
        <v>0</v>
      </c>
      <c r="S275" s="2">
        <v>75072.75</v>
      </c>
      <c r="T275" s="2">
        <v>561597.32999999996</v>
      </c>
      <c r="U275" s="12">
        <f t="shared" si="14"/>
        <v>598875.51487441629</v>
      </c>
      <c r="V275">
        <f t="shared" si="15"/>
        <v>-37278.184874416329</v>
      </c>
    </row>
    <row r="276" spans="1:22" ht="14.25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5">
        <f t="shared" si="0"/>
        <v>0</v>
      </c>
      <c r="N276" s="5">
        <f t="shared" si="1"/>
        <v>0</v>
      </c>
      <c r="O276" s="5">
        <f t="shared" si="2"/>
        <v>0</v>
      </c>
      <c r="P276" s="5">
        <f t="shared" si="3"/>
        <v>0</v>
      </c>
      <c r="Q276" s="5">
        <f t="shared" si="4"/>
        <v>1</v>
      </c>
      <c r="R276" s="5">
        <f t="shared" si="5"/>
        <v>0</v>
      </c>
      <c r="S276" s="2">
        <v>114740.64</v>
      </c>
      <c r="T276" s="2">
        <v>635837.74</v>
      </c>
      <c r="U276" s="12">
        <f t="shared" si="14"/>
        <v>662617.82861221978</v>
      </c>
      <c r="V276">
        <f t="shared" si="15"/>
        <v>-26780.088612219784</v>
      </c>
    </row>
    <row r="277" spans="1:22" ht="14.25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5">
        <f t="shared" si="0"/>
        <v>0</v>
      </c>
      <c r="N277" s="5">
        <f t="shared" si="1"/>
        <v>0</v>
      </c>
      <c r="O277" s="5">
        <f t="shared" si="2"/>
        <v>0</v>
      </c>
      <c r="P277" s="5">
        <f t="shared" si="3"/>
        <v>0</v>
      </c>
      <c r="Q277" s="5">
        <f t="shared" si="4"/>
        <v>1</v>
      </c>
      <c r="R277" s="5">
        <f t="shared" si="5"/>
        <v>0</v>
      </c>
      <c r="S277" s="2">
        <v>83839.67</v>
      </c>
      <c r="T277" s="2">
        <v>686737.87</v>
      </c>
      <c r="U277" s="12">
        <f t="shared" si="14"/>
        <v>642805.95968310535</v>
      </c>
      <c r="V277">
        <f t="shared" si="15"/>
        <v>43931.910316894646</v>
      </c>
    </row>
    <row r="278" spans="1:22" ht="14.25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5">
        <f t="shared" si="0"/>
        <v>0</v>
      </c>
      <c r="N278" s="5">
        <f t="shared" si="1"/>
        <v>1</v>
      </c>
      <c r="O278" s="5">
        <f t="shared" si="2"/>
        <v>0</v>
      </c>
      <c r="P278" s="5">
        <f t="shared" si="3"/>
        <v>0</v>
      </c>
      <c r="Q278" s="5">
        <f t="shared" si="4"/>
        <v>0</v>
      </c>
      <c r="R278" s="5">
        <f t="shared" si="5"/>
        <v>0</v>
      </c>
      <c r="S278" s="2">
        <v>93899.76</v>
      </c>
      <c r="T278" s="2">
        <v>673076.34</v>
      </c>
      <c r="U278" s="12">
        <f t="shared" si="14"/>
        <v>692565.94098586915</v>
      </c>
      <c r="V278">
        <f t="shared" si="15"/>
        <v>-19489.600985869183</v>
      </c>
    </row>
    <row r="279" spans="1:22" ht="14.25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5">
        <f t="shared" si="0"/>
        <v>0</v>
      </c>
      <c r="N279" s="5">
        <f t="shared" si="1"/>
        <v>1</v>
      </c>
      <c r="O279" s="5">
        <f t="shared" si="2"/>
        <v>0</v>
      </c>
      <c r="P279" s="5">
        <f t="shared" si="3"/>
        <v>0</v>
      </c>
      <c r="Q279" s="5">
        <f t="shared" si="4"/>
        <v>0</v>
      </c>
      <c r="R279" s="5">
        <f t="shared" si="5"/>
        <v>0</v>
      </c>
      <c r="S279" s="2">
        <v>134282.76999999999</v>
      </c>
      <c r="T279" s="2">
        <v>738548.42</v>
      </c>
      <c r="U279" s="12">
        <f t="shared" si="14"/>
        <v>639701.59251588758</v>
      </c>
      <c r="V279">
        <f t="shared" si="15"/>
        <v>98846.827484112466</v>
      </c>
    </row>
    <row r="280" spans="1:22" ht="14.25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5">
        <f t="shared" si="0"/>
        <v>0</v>
      </c>
      <c r="N280" s="5">
        <f t="shared" si="1"/>
        <v>1</v>
      </c>
      <c r="O280" s="5">
        <f t="shared" si="2"/>
        <v>0</v>
      </c>
      <c r="P280" s="5">
        <f t="shared" si="3"/>
        <v>0</v>
      </c>
      <c r="Q280" s="5">
        <f t="shared" si="4"/>
        <v>0</v>
      </c>
      <c r="R280" s="5">
        <f t="shared" si="5"/>
        <v>0</v>
      </c>
      <c r="S280" s="2">
        <v>112057.69</v>
      </c>
      <c r="T280" s="2">
        <v>756619.77</v>
      </c>
      <c r="U280" s="12">
        <f t="shared" si="14"/>
        <v>664653.22566906747</v>
      </c>
      <c r="V280">
        <f t="shared" si="15"/>
        <v>91966.544330932549</v>
      </c>
    </row>
    <row r="281" spans="1:22" ht="14.25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5">
        <f t="shared" si="0"/>
        <v>0</v>
      </c>
      <c r="N281" s="5">
        <f t="shared" si="1"/>
        <v>1</v>
      </c>
      <c r="O281" s="5">
        <f t="shared" si="2"/>
        <v>0</v>
      </c>
      <c r="P281" s="5">
        <f t="shared" si="3"/>
        <v>0</v>
      </c>
      <c r="Q281" s="5">
        <f t="shared" si="4"/>
        <v>0</v>
      </c>
      <c r="R281" s="5">
        <f t="shared" si="5"/>
        <v>0</v>
      </c>
      <c r="S281" s="2">
        <v>149802.04</v>
      </c>
      <c r="T281" s="2">
        <v>761122.42</v>
      </c>
      <c r="U281" s="12">
        <f t="shared" si="14"/>
        <v>710574.44854634861</v>
      </c>
      <c r="V281">
        <f t="shared" si="15"/>
        <v>50547.971453651437</v>
      </c>
    </row>
    <row r="282" spans="1:22" ht="14.25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5">
        <f t="shared" si="0"/>
        <v>0</v>
      </c>
      <c r="N282" s="5">
        <f t="shared" si="1"/>
        <v>1</v>
      </c>
      <c r="O282" s="5">
        <f t="shared" si="2"/>
        <v>0</v>
      </c>
      <c r="P282" s="5">
        <f t="shared" si="3"/>
        <v>0</v>
      </c>
      <c r="Q282" s="5">
        <f t="shared" si="4"/>
        <v>1</v>
      </c>
      <c r="R282" s="5">
        <f t="shared" si="5"/>
        <v>0</v>
      </c>
      <c r="S282" s="2">
        <v>63619.98</v>
      </c>
      <c r="T282" s="2">
        <v>524899.56999999995</v>
      </c>
      <c r="U282" s="12">
        <f t="shared" si="14"/>
        <v>658998.47865890025</v>
      </c>
      <c r="V282">
        <f t="shared" si="15"/>
        <v>-134098.9086589003</v>
      </c>
    </row>
    <row r="283" spans="1:22" ht="14.25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5">
        <f t="shared" si="0"/>
        <v>0</v>
      </c>
      <c r="N283" s="5">
        <f t="shared" si="1"/>
        <v>1</v>
      </c>
      <c r="O283" s="5">
        <f t="shared" si="2"/>
        <v>0</v>
      </c>
      <c r="P283" s="5">
        <f t="shared" si="3"/>
        <v>0</v>
      </c>
      <c r="Q283" s="5">
        <f t="shared" si="4"/>
        <v>1</v>
      </c>
      <c r="R283" s="5">
        <f t="shared" si="5"/>
        <v>0</v>
      </c>
      <c r="S283" s="2">
        <v>86475.51</v>
      </c>
      <c r="T283" s="2">
        <v>555557.77</v>
      </c>
      <c r="U283" s="12">
        <f t="shared" si="14"/>
        <v>635334.88510258787</v>
      </c>
      <c r="V283">
        <f t="shared" si="15"/>
        <v>-79777.11510258785</v>
      </c>
    </row>
    <row r="284" spans="1:22" ht="14.25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5">
        <f t="shared" si="0"/>
        <v>0</v>
      </c>
      <c r="N284" s="5">
        <f t="shared" si="1"/>
        <v>1</v>
      </c>
      <c r="O284" s="5">
        <f t="shared" si="2"/>
        <v>0</v>
      </c>
      <c r="P284" s="5">
        <f t="shared" si="3"/>
        <v>0</v>
      </c>
      <c r="Q284" s="5">
        <f t="shared" si="4"/>
        <v>1</v>
      </c>
      <c r="R284" s="5">
        <f t="shared" si="5"/>
        <v>0</v>
      </c>
      <c r="S284" s="2">
        <v>127231.74</v>
      </c>
      <c r="T284" s="2">
        <v>714083.68</v>
      </c>
      <c r="U284" s="12">
        <f t="shared" si="14"/>
        <v>701718.72345422208</v>
      </c>
      <c r="V284">
        <f t="shared" si="15"/>
        <v>12364.956545777968</v>
      </c>
    </row>
    <row r="285" spans="1:22" ht="14.25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5">
        <f t="shared" si="0"/>
        <v>0</v>
      </c>
      <c r="N285" s="5">
        <f t="shared" si="1"/>
        <v>1</v>
      </c>
      <c r="O285" s="5">
        <f t="shared" si="2"/>
        <v>0</v>
      </c>
      <c r="P285" s="5">
        <f t="shared" si="3"/>
        <v>0</v>
      </c>
      <c r="Q285" s="5">
        <f t="shared" si="4"/>
        <v>1</v>
      </c>
      <c r="R285" s="5">
        <f t="shared" si="5"/>
        <v>0</v>
      </c>
      <c r="S285" s="2">
        <v>93372.75</v>
      </c>
      <c r="T285" s="2">
        <v>497439.82</v>
      </c>
      <c r="U285" s="12">
        <f t="shared" si="14"/>
        <v>601071.8030028753</v>
      </c>
      <c r="V285">
        <f t="shared" si="15"/>
        <v>-103631.98300287529</v>
      </c>
    </row>
    <row r="286" spans="1:22" ht="14.25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5">
        <f t="shared" si="0"/>
        <v>0</v>
      </c>
      <c r="N286" s="5">
        <f t="shared" si="1"/>
        <v>0</v>
      </c>
      <c r="O286" s="5">
        <f t="shared" si="2"/>
        <v>0</v>
      </c>
      <c r="P286" s="5">
        <f t="shared" si="3"/>
        <v>0</v>
      </c>
      <c r="Q286" s="5">
        <f t="shared" si="4"/>
        <v>0</v>
      </c>
      <c r="R286" s="5">
        <f t="shared" si="5"/>
        <v>0</v>
      </c>
      <c r="S286" s="2">
        <v>122636.86</v>
      </c>
      <c r="T286" s="2">
        <v>636775.66</v>
      </c>
      <c r="U286" s="12">
        <f t="shared" si="14"/>
        <v>689173.85973483766</v>
      </c>
      <c r="V286">
        <f t="shared" si="15"/>
        <v>-52398.199734837632</v>
      </c>
    </row>
    <row r="287" spans="1:22" ht="14.25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5">
        <f t="shared" si="0"/>
        <v>0</v>
      </c>
      <c r="N287" s="5">
        <f t="shared" si="1"/>
        <v>0</v>
      </c>
      <c r="O287" s="5">
        <f t="shared" si="2"/>
        <v>0</v>
      </c>
      <c r="P287" s="5">
        <f t="shared" si="3"/>
        <v>0</v>
      </c>
      <c r="Q287" s="5">
        <f t="shared" si="4"/>
        <v>0</v>
      </c>
      <c r="R287" s="5">
        <f t="shared" si="5"/>
        <v>0</v>
      </c>
      <c r="S287" s="2">
        <v>123782.67</v>
      </c>
      <c r="T287" s="2">
        <v>633009.53</v>
      </c>
      <c r="U287" s="12">
        <f t="shared" si="14"/>
        <v>719589.51808798651</v>
      </c>
      <c r="V287">
        <f t="shared" si="15"/>
        <v>-86579.98808798648</v>
      </c>
    </row>
    <row r="288" spans="1:22" ht="14.25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5">
        <f t="shared" si="0"/>
        <v>0</v>
      </c>
      <c r="N288" s="5">
        <f t="shared" si="1"/>
        <v>0</v>
      </c>
      <c r="O288" s="5">
        <f t="shared" si="2"/>
        <v>0</v>
      </c>
      <c r="P288" s="5">
        <f t="shared" si="3"/>
        <v>0</v>
      </c>
      <c r="Q288" s="5">
        <f t="shared" si="4"/>
        <v>0</v>
      </c>
      <c r="R288" s="5">
        <f t="shared" si="5"/>
        <v>0</v>
      </c>
      <c r="S288" s="2">
        <v>126789.25</v>
      </c>
      <c r="T288" s="2">
        <v>609949</v>
      </c>
      <c r="U288" s="12">
        <f t="shared" si="14"/>
        <v>678980.79381807963</v>
      </c>
      <c r="V288">
        <f t="shared" si="15"/>
        <v>-69031.793818079634</v>
      </c>
    </row>
    <row r="289" spans="1:22" ht="14.25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5">
        <f t="shared" si="0"/>
        <v>0</v>
      </c>
      <c r="N289" s="5">
        <f t="shared" si="1"/>
        <v>0</v>
      </c>
      <c r="O289" s="5">
        <f t="shared" si="2"/>
        <v>0</v>
      </c>
      <c r="P289" s="5">
        <f t="shared" si="3"/>
        <v>0</v>
      </c>
      <c r="Q289" s="5">
        <f t="shared" si="4"/>
        <v>0</v>
      </c>
      <c r="R289" s="5">
        <f t="shared" si="5"/>
        <v>0</v>
      </c>
      <c r="S289" s="2">
        <v>99905.52</v>
      </c>
      <c r="T289" s="2">
        <v>548103.69999999995</v>
      </c>
      <c r="U289" s="12">
        <f t="shared" si="14"/>
        <v>648380.38827709155</v>
      </c>
      <c r="V289">
        <f t="shared" si="15"/>
        <v>-100276.6882770916</v>
      </c>
    </row>
    <row r="290" spans="1:22" ht="14.25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5">
        <f t="shared" si="0"/>
        <v>0</v>
      </c>
      <c r="N290" s="5">
        <f t="shared" si="1"/>
        <v>0</v>
      </c>
      <c r="O290" s="5">
        <f t="shared" si="2"/>
        <v>1</v>
      </c>
      <c r="P290" s="5">
        <f t="shared" si="3"/>
        <v>0</v>
      </c>
      <c r="Q290" s="5">
        <f t="shared" si="4"/>
        <v>0</v>
      </c>
      <c r="R290" s="5">
        <f t="shared" si="5"/>
        <v>0</v>
      </c>
      <c r="S290" s="2">
        <v>75592.28</v>
      </c>
      <c r="T290" s="2">
        <v>729424.42</v>
      </c>
      <c r="U290" s="12">
        <f t="shared" si="14"/>
        <v>709998.91444570047</v>
      </c>
      <c r="V290">
        <f t="shared" si="15"/>
        <v>19425.505554299569</v>
      </c>
    </row>
    <row r="291" spans="1:22" ht="14.25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5">
        <f t="shared" si="0"/>
        <v>0</v>
      </c>
      <c r="N291" s="5">
        <f t="shared" si="1"/>
        <v>0</v>
      </c>
      <c r="O291" s="5">
        <f t="shared" si="2"/>
        <v>1</v>
      </c>
      <c r="P291" s="5">
        <f t="shared" si="3"/>
        <v>0</v>
      </c>
      <c r="Q291" s="5">
        <f t="shared" si="4"/>
        <v>0</v>
      </c>
      <c r="R291" s="5">
        <f t="shared" si="5"/>
        <v>0</v>
      </c>
      <c r="S291" s="2">
        <v>72455.350000000006</v>
      </c>
      <c r="T291" s="2">
        <v>696261.49</v>
      </c>
      <c r="U291" s="12">
        <f t="shared" si="14"/>
        <v>707661.71421330585</v>
      </c>
      <c r="V291">
        <f t="shared" si="15"/>
        <v>-11400.224213305861</v>
      </c>
    </row>
    <row r="292" spans="1:22" ht="14.25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5">
        <f t="shared" si="0"/>
        <v>0</v>
      </c>
      <c r="N292" s="5">
        <f t="shared" si="1"/>
        <v>0</v>
      </c>
      <c r="O292" s="5">
        <f t="shared" si="2"/>
        <v>1</v>
      </c>
      <c r="P292" s="5">
        <f t="shared" si="3"/>
        <v>0</v>
      </c>
      <c r="Q292" s="5">
        <f t="shared" si="4"/>
        <v>0</v>
      </c>
      <c r="R292" s="5">
        <f t="shared" si="5"/>
        <v>0</v>
      </c>
      <c r="S292" s="2">
        <v>110077.42</v>
      </c>
      <c r="T292" s="2">
        <v>813316.71</v>
      </c>
      <c r="U292" s="12">
        <f t="shared" si="14"/>
        <v>681873.46443703026</v>
      </c>
      <c r="V292">
        <f t="shared" si="15"/>
        <v>131443.24556296971</v>
      </c>
    </row>
    <row r="293" spans="1:22" ht="14.25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5">
        <f t="shared" si="0"/>
        <v>0</v>
      </c>
      <c r="N293" s="5">
        <f t="shared" si="1"/>
        <v>0</v>
      </c>
      <c r="O293" s="5">
        <f t="shared" si="2"/>
        <v>1</v>
      </c>
      <c r="P293" s="5">
        <f t="shared" si="3"/>
        <v>0</v>
      </c>
      <c r="Q293" s="5">
        <f t="shared" si="4"/>
        <v>0</v>
      </c>
      <c r="R293" s="5">
        <f t="shared" si="5"/>
        <v>0</v>
      </c>
      <c r="S293" s="2">
        <v>111266.63</v>
      </c>
      <c r="T293" s="2">
        <v>702068.92</v>
      </c>
      <c r="U293" s="12">
        <f t="shared" si="14"/>
        <v>676245.47610785405</v>
      </c>
      <c r="V293">
        <f t="shared" si="15"/>
        <v>25823.443892145995</v>
      </c>
    </row>
    <row r="294" spans="1:22" ht="14.25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5">
        <f t="shared" si="0"/>
        <v>0</v>
      </c>
      <c r="N294" s="5">
        <f t="shared" si="1"/>
        <v>0</v>
      </c>
      <c r="O294" s="5">
        <f t="shared" si="2"/>
        <v>0</v>
      </c>
      <c r="P294" s="5">
        <f t="shared" si="3"/>
        <v>0</v>
      </c>
      <c r="Q294" s="5">
        <f t="shared" si="4"/>
        <v>1</v>
      </c>
      <c r="R294" s="5">
        <f t="shared" si="5"/>
        <v>0</v>
      </c>
      <c r="S294" s="2">
        <v>100769.17</v>
      </c>
      <c r="T294" s="2">
        <v>546223.69999999995</v>
      </c>
      <c r="U294" s="12">
        <f t="shared" si="14"/>
        <v>671828.93780168751</v>
      </c>
      <c r="V294">
        <f t="shared" si="15"/>
        <v>-125605.23780168756</v>
      </c>
    </row>
    <row r="295" spans="1:22" ht="14.25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5">
        <f t="shared" si="0"/>
        <v>0</v>
      </c>
      <c r="N295" s="5">
        <f t="shared" si="1"/>
        <v>0</v>
      </c>
      <c r="O295" s="5">
        <f t="shared" si="2"/>
        <v>0</v>
      </c>
      <c r="P295" s="5">
        <f t="shared" si="3"/>
        <v>0</v>
      </c>
      <c r="Q295" s="5">
        <f t="shared" si="4"/>
        <v>1</v>
      </c>
      <c r="R295" s="5">
        <f t="shared" si="5"/>
        <v>0</v>
      </c>
      <c r="S295" s="2">
        <v>55063.39</v>
      </c>
      <c r="T295" s="2">
        <v>533121.26</v>
      </c>
      <c r="U295" s="12">
        <f t="shared" si="14"/>
        <v>646630.77732308372</v>
      </c>
      <c r="V295">
        <f t="shared" si="15"/>
        <v>-113509.51732308371</v>
      </c>
    </row>
    <row r="296" spans="1:22" ht="14.25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5">
        <f t="shared" si="0"/>
        <v>0</v>
      </c>
      <c r="N296" s="5">
        <f t="shared" si="1"/>
        <v>0</v>
      </c>
      <c r="O296" s="5">
        <f t="shared" si="2"/>
        <v>0</v>
      </c>
      <c r="P296" s="5">
        <f t="shared" si="3"/>
        <v>0</v>
      </c>
      <c r="Q296" s="5">
        <f t="shared" si="4"/>
        <v>1</v>
      </c>
      <c r="R296" s="5">
        <f t="shared" si="5"/>
        <v>0</v>
      </c>
      <c r="S296" s="2">
        <v>69656.7</v>
      </c>
      <c r="T296" s="2">
        <v>498970.32</v>
      </c>
      <c r="U296" s="12">
        <f t="shared" si="14"/>
        <v>688416.33270488458</v>
      </c>
      <c r="V296">
        <f t="shared" si="15"/>
        <v>-189446.01270488458</v>
      </c>
    </row>
    <row r="297" spans="1:22" ht="14.25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5">
        <f t="shared" si="0"/>
        <v>0</v>
      </c>
      <c r="N297" s="5">
        <f t="shared" si="1"/>
        <v>0</v>
      </c>
      <c r="O297" s="5">
        <f t="shared" si="2"/>
        <v>0</v>
      </c>
      <c r="P297" s="5">
        <f t="shared" si="3"/>
        <v>0</v>
      </c>
      <c r="Q297" s="5">
        <f t="shared" si="4"/>
        <v>1</v>
      </c>
      <c r="R297" s="5">
        <f t="shared" si="5"/>
        <v>0</v>
      </c>
      <c r="S297" s="2">
        <v>96435.6</v>
      </c>
      <c r="T297" s="2">
        <v>487738.26</v>
      </c>
      <c r="U297" s="12">
        <f t="shared" si="14"/>
        <v>619714.04426549305</v>
      </c>
      <c r="V297">
        <f t="shared" si="15"/>
        <v>-131975.78426549304</v>
      </c>
    </row>
    <row r="298" spans="1:22" ht="14.25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5">
        <f t="shared" si="0"/>
        <v>0</v>
      </c>
      <c r="N298" s="5">
        <f t="shared" si="1"/>
        <v>0</v>
      </c>
      <c r="O298" s="5">
        <f t="shared" si="2"/>
        <v>0</v>
      </c>
      <c r="P298" s="5">
        <f t="shared" si="3"/>
        <v>0</v>
      </c>
      <c r="Q298" s="5">
        <f t="shared" si="4"/>
        <v>1</v>
      </c>
      <c r="R298" s="5">
        <f t="shared" si="5"/>
        <v>0</v>
      </c>
      <c r="S298" s="2">
        <v>126435.42</v>
      </c>
      <c r="T298" s="2">
        <v>668459.37</v>
      </c>
      <c r="U298" s="12">
        <f t="shared" si="14"/>
        <v>679462.9797410192</v>
      </c>
      <c r="V298">
        <f t="shared" si="15"/>
        <v>-11003.609741019201</v>
      </c>
    </row>
    <row r="299" spans="1:22" ht="14.25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5">
        <f t="shared" si="0"/>
        <v>0</v>
      </c>
      <c r="N299" s="5">
        <f t="shared" si="1"/>
        <v>0</v>
      </c>
      <c r="O299" s="5">
        <f t="shared" si="2"/>
        <v>0</v>
      </c>
      <c r="P299" s="5">
        <f t="shared" si="3"/>
        <v>0</v>
      </c>
      <c r="Q299" s="5">
        <f t="shared" si="4"/>
        <v>1</v>
      </c>
      <c r="R299" s="5">
        <f t="shared" si="5"/>
        <v>0</v>
      </c>
      <c r="S299" s="2">
        <v>162524.04999999999</v>
      </c>
      <c r="T299" s="2">
        <v>763162.45</v>
      </c>
      <c r="U299" s="12">
        <f t="shared" si="14"/>
        <v>679204.6091038977</v>
      </c>
      <c r="V299">
        <f t="shared" si="15"/>
        <v>83957.840896102251</v>
      </c>
    </row>
    <row r="300" spans="1:22" ht="14.25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5">
        <f t="shared" si="0"/>
        <v>0</v>
      </c>
      <c r="N300" s="5">
        <f t="shared" si="1"/>
        <v>0</v>
      </c>
      <c r="O300" s="5">
        <f t="shared" si="2"/>
        <v>0</v>
      </c>
      <c r="P300" s="5">
        <f t="shared" si="3"/>
        <v>0</v>
      </c>
      <c r="Q300" s="5">
        <f t="shared" si="4"/>
        <v>1</v>
      </c>
      <c r="R300" s="5">
        <f t="shared" si="5"/>
        <v>0</v>
      </c>
      <c r="S300" s="2">
        <v>134009.92000000001</v>
      </c>
      <c r="T300" s="2">
        <v>599017.32999999996</v>
      </c>
      <c r="U300" s="12">
        <f t="shared" si="14"/>
        <v>659494.90197980171</v>
      </c>
      <c r="V300">
        <f t="shared" si="15"/>
        <v>-60477.571979801753</v>
      </c>
    </row>
    <row r="301" spans="1:22" ht="14.25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5">
        <f t="shared" si="0"/>
        <v>0</v>
      </c>
      <c r="N301" s="5">
        <f t="shared" si="1"/>
        <v>0</v>
      </c>
      <c r="O301" s="5">
        <f t="shared" si="2"/>
        <v>0</v>
      </c>
      <c r="P301" s="5">
        <f t="shared" si="3"/>
        <v>0</v>
      </c>
      <c r="Q301" s="5">
        <f t="shared" si="4"/>
        <v>1</v>
      </c>
      <c r="R301" s="5">
        <f t="shared" si="5"/>
        <v>0</v>
      </c>
      <c r="S301" s="2">
        <v>68454.929999999993</v>
      </c>
      <c r="T301" s="2">
        <v>401582.58</v>
      </c>
      <c r="U301" s="12">
        <f t="shared" si="14"/>
        <v>613283.27431998472</v>
      </c>
      <c r="V301">
        <f t="shared" si="15"/>
        <v>-211700.6943199847</v>
      </c>
    </row>
    <row r="302" spans="1:22" ht="14.25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5">
        <f t="shared" si="0"/>
        <v>1</v>
      </c>
      <c r="N302" s="5">
        <f t="shared" si="1"/>
        <v>0</v>
      </c>
      <c r="O302" s="5">
        <f t="shared" si="2"/>
        <v>0</v>
      </c>
      <c r="P302" s="5">
        <f t="shared" si="3"/>
        <v>1</v>
      </c>
      <c r="Q302" s="5">
        <f t="shared" si="4"/>
        <v>0</v>
      </c>
      <c r="R302" s="5">
        <f t="shared" si="5"/>
        <v>0</v>
      </c>
      <c r="S302" s="2">
        <v>133577.98000000001</v>
      </c>
      <c r="T302" s="2">
        <v>703812.99</v>
      </c>
      <c r="U302" s="12">
        <f t="shared" si="14"/>
        <v>647785.00232839235</v>
      </c>
      <c r="V302">
        <f t="shared" si="15"/>
        <v>56027.98767160764</v>
      </c>
    </row>
    <row r="303" spans="1:22" ht="14.25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5">
        <f t="shared" si="0"/>
        <v>1</v>
      </c>
      <c r="N303" s="5">
        <f t="shared" si="1"/>
        <v>0</v>
      </c>
      <c r="O303" s="5">
        <f t="shared" si="2"/>
        <v>0</v>
      </c>
      <c r="P303" s="5">
        <f t="shared" si="3"/>
        <v>1</v>
      </c>
      <c r="Q303" s="5">
        <f t="shared" si="4"/>
        <v>0</v>
      </c>
      <c r="R303" s="5">
        <f t="shared" si="5"/>
        <v>0</v>
      </c>
      <c r="S303" s="2">
        <v>155013.91</v>
      </c>
      <c r="T303" s="2">
        <v>724346.73</v>
      </c>
      <c r="U303" s="12">
        <f t="shared" si="14"/>
        <v>697233.07444544882</v>
      </c>
      <c r="V303">
        <f t="shared" si="15"/>
        <v>27113.655554551166</v>
      </c>
    </row>
    <row r="304" spans="1:22" ht="14.25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5">
        <f t="shared" si="0"/>
        <v>1</v>
      </c>
      <c r="N304" s="5">
        <f t="shared" si="1"/>
        <v>0</v>
      </c>
      <c r="O304" s="5">
        <f t="shared" si="2"/>
        <v>0</v>
      </c>
      <c r="P304" s="5">
        <f t="shared" si="3"/>
        <v>1</v>
      </c>
      <c r="Q304" s="5">
        <f t="shared" si="4"/>
        <v>0</v>
      </c>
      <c r="R304" s="5">
        <f t="shared" si="5"/>
        <v>0</v>
      </c>
      <c r="S304" s="2">
        <v>105502.56</v>
      </c>
      <c r="T304" s="2">
        <v>730890.01</v>
      </c>
      <c r="U304" s="12">
        <f t="shared" si="14"/>
        <v>673624.35419378127</v>
      </c>
      <c r="V304">
        <f t="shared" si="15"/>
        <v>57265.65580621874</v>
      </c>
    </row>
    <row r="305" spans="1:22" ht="14.25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5">
        <f t="shared" si="0"/>
        <v>1</v>
      </c>
      <c r="N305" s="5">
        <f t="shared" si="1"/>
        <v>0</v>
      </c>
      <c r="O305" s="5">
        <f t="shared" si="2"/>
        <v>0</v>
      </c>
      <c r="P305" s="5">
        <f t="shared" si="3"/>
        <v>1</v>
      </c>
      <c r="Q305" s="5">
        <f t="shared" si="4"/>
        <v>0</v>
      </c>
      <c r="R305" s="5">
        <f t="shared" si="5"/>
        <v>0</v>
      </c>
      <c r="S305" s="2">
        <v>138144.46</v>
      </c>
      <c r="T305" s="2">
        <v>780580.95</v>
      </c>
      <c r="U305" s="12">
        <f t="shared" si="14"/>
        <v>629457.69993586978</v>
      </c>
      <c r="V305">
        <f t="shared" si="15"/>
        <v>151123.25006413017</v>
      </c>
    </row>
    <row r="306" spans="1:22" ht="14.25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5">
        <f t="shared" si="0"/>
        <v>0</v>
      </c>
      <c r="N306" s="5">
        <f t="shared" si="1"/>
        <v>1</v>
      </c>
      <c r="O306" s="5">
        <f t="shared" si="2"/>
        <v>0</v>
      </c>
      <c r="P306" s="5">
        <f t="shared" si="3"/>
        <v>0</v>
      </c>
      <c r="Q306" s="5">
        <f t="shared" si="4"/>
        <v>0</v>
      </c>
      <c r="R306" s="5">
        <f t="shared" si="5"/>
        <v>0</v>
      </c>
      <c r="S306" s="2">
        <v>74805.23</v>
      </c>
      <c r="T306" s="2">
        <v>727957.48</v>
      </c>
      <c r="U306" s="12">
        <f t="shared" si="14"/>
        <v>678082.58773683617</v>
      </c>
      <c r="V306">
        <f t="shared" si="15"/>
        <v>49874.892263163812</v>
      </c>
    </row>
    <row r="307" spans="1:22" ht="14.25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5">
        <f t="shared" si="0"/>
        <v>0</v>
      </c>
      <c r="N307" s="5">
        <f t="shared" si="1"/>
        <v>1</v>
      </c>
      <c r="O307" s="5">
        <f t="shared" si="2"/>
        <v>0</v>
      </c>
      <c r="P307" s="5">
        <f t="shared" si="3"/>
        <v>0</v>
      </c>
      <c r="Q307" s="5">
        <f t="shared" si="4"/>
        <v>0</v>
      </c>
      <c r="R307" s="5">
        <f t="shared" si="5"/>
        <v>0</v>
      </c>
      <c r="S307" s="2">
        <v>87605.62</v>
      </c>
      <c r="T307" s="2">
        <v>538376</v>
      </c>
      <c r="U307" s="12">
        <f t="shared" si="14"/>
        <v>659434.60490450461</v>
      </c>
      <c r="V307">
        <f t="shared" si="15"/>
        <v>-121058.60490450461</v>
      </c>
    </row>
    <row r="308" spans="1:22" ht="14.25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5">
        <f t="shared" si="0"/>
        <v>0</v>
      </c>
      <c r="N308" s="5">
        <f t="shared" si="1"/>
        <v>1</v>
      </c>
      <c r="O308" s="5">
        <f t="shared" si="2"/>
        <v>0</v>
      </c>
      <c r="P308" s="5">
        <f t="shared" si="3"/>
        <v>0</v>
      </c>
      <c r="Q308" s="5">
        <f t="shared" si="4"/>
        <v>0</v>
      </c>
      <c r="R308" s="5">
        <f t="shared" si="5"/>
        <v>0</v>
      </c>
      <c r="S308" s="2">
        <v>93441.81</v>
      </c>
      <c r="T308" s="2">
        <v>665342.49</v>
      </c>
      <c r="U308" s="12">
        <f t="shared" si="14"/>
        <v>609097.39457276382</v>
      </c>
      <c r="V308">
        <f t="shared" si="15"/>
        <v>56245.095427236171</v>
      </c>
    </row>
    <row r="309" spans="1:22" ht="14.25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5">
        <f t="shared" si="0"/>
        <v>0</v>
      </c>
      <c r="N309" s="5">
        <f t="shared" si="1"/>
        <v>1</v>
      </c>
      <c r="O309" s="5">
        <f t="shared" si="2"/>
        <v>0</v>
      </c>
      <c r="P309" s="5">
        <f t="shared" si="3"/>
        <v>0</v>
      </c>
      <c r="Q309" s="5">
        <f t="shared" si="4"/>
        <v>0</v>
      </c>
      <c r="R309" s="5">
        <f t="shared" si="5"/>
        <v>0</v>
      </c>
      <c r="S309" s="2">
        <v>109466.5</v>
      </c>
      <c r="T309" s="2">
        <v>651164.18000000005</v>
      </c>
      <c r="U309" s="12">
        <f t="shared" si="14"/>
        <v>690235.28741414449</v>
      </c>
      <c r="V309">
        <f t="shared" si="15"/>
        <v>-39071.107414144441</v>
      </c>
    </row>
    <row r="310" spans="1:22" ht="14.25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5">
        <f t="shared" si="0"/>
        <v>0</v>
      </c>
      <c r="N310" s="5">
        <f t="shared" si="1"/>
        <v>1</v>
      </c>
      <c r="O310" s="5">
        <f t="shared" si="2"/>
        <v>0</v>
      </c>
      <c r="P310" s="5">
        <f t="shared" si="3"/>
        <v>0</v>
      </c>
      <c r="Q310" s="5">
        <f t="shared" si="4"/>
        <v>1</v>
      </c>
      <c r="R310" s="5">
        <f t="shared" si="5"/>
        <v>0</v>
      </c>
      <c r="S310" s="2">
        <v>112509.15</v>
      </c>
      <c r="T310" s="2">
        <v>628538.30000000005</v>
      </c>
      <c r="U310" s="12">
        <f t="shared" si="14"/>
        <v>664348.54111536162</v>
      </c>
      <c r="V310">
        <f t="shared" si="15"/>
        <v>-35810.241115361569</v>
      </c>
    </row>
    <row r="311" spans="1:22" ht="14.25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5">
        <f t="shared" si="0"/>
        <v>0</v>
      </c>
      <c r="N311" s="5">
        <f t="shared" si="1"/>
        <v>1</v>
      </c>
      <c r="O311" s="5">
        <f t="shared" si="2"/>
        <v>0</v>
      </c>
      <c r="P311" s="5">
        <f t="shared" si="3"/>
        <v>0</v>
      </c>
      <c r="Q311" s="5">
        <f t="shared" si="4"/>
        <v>1</v>
      </c>
      <c r="R311" s="5">
        <f t="shared" si="5"/>
        <v>0</v>
      </c>
      <c r="S311" s="2">
        <v>92752.94</v>
      </c>
      <c r="T311" s="2">
        <v>536524.84</v>
      </c>
      <c r="U311" s="12">
        <f t="shared" si="14"/>
        <v>611883.68725247821</v>
      </c>
      <c r="V311">
        <f t="shared" si="15"/>
        <v>-75358.847252478241</v>
      </c>
    </row>
    <row r="312" spans="1:22" ht="14.25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5">
        <f t="shared" si="0"/>
        <v>0</v>
      </c>
      <c r="N312" s="5">
        <f t="shared" si="1"/>
        <v>1</v>
      </c>
      <c r="O312" s="5">
        <f t="shared" si="2"/>
        <v>0</v>
      </c>
      <c r="P312" s="5">
        <f t="shared" si="3"/>
        <v>0</v>
      </c>
      <c r="Q312" s="5">
        <f t="shared" si="4"/>
        <v>1</v>
      </c>
      <c r="R312" s="5">
        <f t="shared" si="5"/>
        <v>0</v>
      </c>
      <c r="S312" s="2">
        <v>105192.52</v>
      </c>
      <c r="T312" s="2">
        <v>621677.30000000005</v>
      </c>
      <c r="U312" s="12">
        <f t="shared" si="14"/>
        <v>676758.25548712839</v>
      </c>
      <c r="V312">
        <f t="shared" si="15"/>
        <v>-55080.955487128347</v>
      </c>
    </row>
    <row r="313" spans="1:22" ht="14.25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4">
        <v>3.9</v>
      </c>
      <c r="M313" s="5">
        <f t="shared" si="0"/>
        <v>0</v>
      </c>
      <c r="N313" s="5">
        <f t="shared" si="1"/>
        <v>1</v>
      </c>
      <c r="O313" s="5">
        <f t="shared" si="2"/>
        <v>0</v>
      </c>
      <c r="P313" s="5">
        <f t="shared" si="3"/>
        <v>0</v>
      </c>
      <c r="Q313" s="5">
        <f t="shared" si="4"/>
        <v>1</v>
      </c>
      <c r="R313" s="5">
        <f t="shared" si="5"/>
        <v>0</v>
      </c>
      <c r="S313" s="2">
        <v>116851.13</v>
      </c>
      <c r="T313" s="2">
        <v>771129.07</v>
      </c>
      <c r="U313" s="12">
        <f t="shared" si="14"/>
        <v>743927.5024397244</v>
      </c>
      <c r="V313">
        <f t="shared" si="15"/>
        <v>27201.567560275551</v>
      </c>
    </row>
    <row r="314" spans="1:22" ht="14.25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5">
        <f t="shared" si="0"/>
        <v>1</v>
      </c>
      <c r="N314" s="5">
        <f t="shared" si="1"/>
        <v>0</v>
      </c>
      <c r="O314" s="5">
        <f t="shared" si="2"/>
        <v>0</v>
      </c>
      <c r="P314" s="5">
        <f t="shared" si="3"/>
        <v>0</v>
      </c>
      <c r="Q314" s="5">
        <f t="shared" si="4"/>
        <v>0</v>
      </c>
      <c r="R314" s="5">
        <f t="shared" si="5"/>
        <v>0</v>
      </c>
      <c r="S314" s="2">
        <v>121732.51</v>
      </c>
      <c r="T314" s="2">
        <v>702052.47</v>
      </c>
      <c r="U314" s="12">
        <f t="shared" si="14"/>
        <v>728971.75147885073</v>
      </c>
      <c r="V314">
        <f t="shared" si="15"/>
        <v>-26919.281478850753</v>
      </c>
    </row>
    <row r="315" spans="1:22" ht="14.25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4">
        <v>3.9</v>
      </c>
      <c r="M315" s="5">
        <f t="shared" si="0"/>
        <v>1</v>
      </c>
      <c r="N315" s="5">
        <f t="shared" si="1"/>
        <v>0</v>
      </c>
      <c r="O315" s="5">
        <f t="shared" si="2"/>
        <v>0</v>
      </c>
      <c r="P315" s="5">
        <f t="shared" si="3"/>
        <v>0</v>
      </c>
      <c r="Q315" s="5">
        <f t="shared" si="4"/>
        <v>0</v>
      </c>
      <c r="R315" s="5">
        <f t="shared" si="5"/>
        <v>0</v>
      </c>
      <c r="S315" s="2">
        <v>93588.42</v>
      </c>
      <c r="T315" s="2">
        <v>688368.46</v>
      </c>
      <c r="U315" s="12">
        <f t="shared" si="14"/>
        <v>660751.88201504387</v>
      </c>
      <c r="V315">
        <f t="shared" si="15"/>
        <v>27616.577984956093</v>
      </c>
    </row>
    <row r="316" spans="1:22" ht="14.25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5">
        <f t="shared" si="0"/>
        <v>1</v>
      </c>
      <c r="N316" s="5">
        <f t="shared" si="1"/>
        <v>0</v>
      </c>
      <c r="O316" s="5">
        <f t="shared" si="2"/>
        <v>0</v>
      </c>
      <c r="P316" s="5">
        <f t="shared" si="3"/>
        <v>0</v>
      </c>
      <c r="Q316" s="5">
        <f t="shared" si="4"/>
        <v>0</v>
      </c>
      <c r="R316" s="5">
        <f t="shared" si="5"/>
        <v>0</v>
      </c>
      <c r="S316" s="2">
        <v>104171.53</v>
      </c>
      <c r="T316" s="2">
        <v>712375.77</v>
      </c>
      <c r="U316" s="12">
        <f t="shared" si="14"/>
        <v>694097.83839604282</v>
      </c>
      <c r="V316">
        <f t="shared" si="15"/>
        <v>18277.9316039572</v>
      </c>
    </row>
    <row r="317" spans="1:22" ht="14.25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5">
        <f t="shared" si="0"/>
        <v>1</v>
      </c>
      <c r="N317" s="5">
        <f t="shared" si="1"/>
        <v>0</v>
      </c>
      <c r="O317" s="5">
        <f t="shared" si="2"/>
        <v>0</v>
      </c>
      <c r="P317" s="5">
        <f t="shared" si="3"/>
        <v>0</v>
      </c>
      <c r="Q317" s="5">
        <f t="shared" si="4"/>
        <v>0</v>
      </c>
      <c r="R317" s="5">
        <f t="shared" si="5"/>
        <v>0</v>
      </c>
      <c r="S317" s="2">
        <v>137140.18</v>
      </c>
      <c r="T317" s="2">
        <v>844710.67</v>
      </c>
      <c r="U317" s="12">
        <f t="shared" si="14"/>
        <v>702464.68259833101</v>
      </c>
      <c r="V317">
        <f t="shared" si="15"/>
        <v>142245.98740166903</v>
      </c>
    </row>
    <row r="318" spans="1:22" ht="14.25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5">
        <f t="shared" si="0"/>
        <v>0</v>
      </c>
      <c r="N318" s="5">
        <f t="shared" si="1"/>
        <v>0</v>
      </c>
      <c r="O318" s="5">
        <f t="shared" si="2"/>
        <v>1</v>
      </c>
      <c r="P318" s="5">
        <f t="shared" si="3"/>
        <v>0</v>
      </c>
      <c r="Q318" s="5">
        <f t="shared" si="4"/>
        <v>0</v>
      </c>
      <c r="R318" s="5">
        <f t="shared" si="5"/>
        <v>0</v>
      </c>
      <c r="S318" s="2">
        <v>91365.64</v>
      </c>
      <c r="T318" s="2">
        <v>620264.19999999995</v>
      </c>
      <c r="U318" s="12">
        <f t="shared" si="14"/>
        <v>723986.11979968555</v>
      </c>
      <c r="V318">
        <f t="shared" si="15"/>
        <v>-103721.91979968559</v>
      </c>
    </row>
    <row r="319" spans="1:22" ht="14.25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5">
        <f t="shared" si="0"/>
        <v>0</v>
      </c>
      <c r="N319" s="5">
        <f t="shared" si="1"/>
        <v>0</v>
      </c>
      <c r="O319" s="5">
        <f t="shared" si="2"/>
        <v>1</v>
      </c>
      <c r="P319" s="5">
        <f t="shared" si="3"/>
        <v>0</v>
      </c>
      <c r="Q319" s="5">
        <f t="shared" si="4"/>
        <v>0</v>
      </c>
      <c r="R319" s="5">
        <f t="shared" si="5"/>
        <v>0</v>
      </c>
      <c r="S319" s="2">
        <v>107473.75</v>
      </c>
      <c r="T319" s="2">
        <v>536845.42000000004</v>
      </c>
      <c r="U319" s="12">
        <f t="shared" si="14"/>
        <v>612700.81219979259</v>
      </c>
      <c r="V319">
        <f t="shared" si="15"/>
        <v>-75855.39219979255</v>
      </c>
    </row>
    <row r="320" spans="1:22" ht="14.25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5">
        <f t="shared" si="0"/>
        <v>0</v>
      </c>
      <c r="N320" s="5">
        <f t="shared" si="1"/>
        <v>0</v>
      </c>
      <c r="O320" s="5">
        <f t="shared" si="2"/>
        <v>1</v>
      </c>
      <c r="P320" s="5">
        <f t="shared" si="3"/>
        <v>0</v>
      </c>
      <c r="Q320" s="5">
        <f t="shared" si="4"/>
        <v>0</v>
      </c>
      <c r="R320" s="5">
        <f t="shared" si="5"/>
        <v>0</v>
      </c>
      <c r="S320" s="2">
        <v>90804.49</v>
      </c>
      <c r="T320" s="2">
        <v>726776.22</v>
      </c>
      <c r="U320" s="12">
        <f t="shared" si="14"/>
        <v>735190.14690476039</v>
      </c>
      <c r="V320">
        <f t="shared" si="15"/>
        <v>-8413.9269047604175</v>
      </c>
    </row>
    <row r="321" spans="1:22" ht="14.25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5">
        <f t="shared" si="0"/>
        <v>0</v>
      </c>
      <c r="N321" s="5">
        <f t="shared" si="1"/>
        <v>0</v>
      </c>
      <c r="O321" s="5">
        <f t="shared" si="2"/>
        <v>1</v>
      </c>
      <c r="P321" s="5">
        <f t="shared" si="3"/>
        <v>0</v>
      </c>
      <c r="Q321" s="5">
        <f t="shared" si="4"/>
        <v>0</v>
      </c>
      <c r="R321" s="5">
        <f t="shared" si="5"/>
        <v>0</v>
      </c>
      <c r="S321" s="2">
        <v>71443.61</v>
      </c>
      <c r="T321" s="2">
        <v>559660.84</v>
      </c>
      <c r="U321" s="12">
        <f t="shared" si="14"/>
        <v>647584.66179992817</v>
      </c>
      <c r="V321">
        <f t="shared" si="15"/>
        <v>-87923.821799928206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A21" sqref="A21"/>
    </sheetView>
  </sheetViews>
  <sheetFormatPr defaultRowHeight="14.25"/>
  <cols>
    <col min="1" max="1" width="18" bestFit="1" customWidth="1"/>
    <col min="2" max="2" width="11.875" bestFit="1" customWidth="1"/>
    <col min="3" max="3" width="13.5" bestFit="1" customWidth="1"/>
    <col min="4" max="5" width="12.25" bestFit="1" customWidth="1"/>
    <col min="6" max="6" width="12.875" bestFit="1" customWidth="1"/>
    <col min="7" max="8" width="11.875" bestFit="1" customWidth="1"/>
    <col min="9" max="9" width="12" bestFit="1" customWidth="1"/>
  </cols>
  <sheetData>
    <row r="1" spans="1:9">
      <c r="A1" t="s">
        <v>108</v>
      </c>
    </row>
    <row r="2" spans="1:9" ht="15" thickBot="1"/>
    <row r="3" spans="1:9">
      <c r="A3" s="10" t="s">
        <v>109</v>
      </c>
      <c r="B3" s="10"/>
    </row>
    <row r="4" spans="1:9">
      <c r="A4" s="7" t="s">
        <v>110</v>
      </c>
      <c r="B4" s="7">
        <v>0.40733219276521404</v>
      </c>
    </row>
    <row r="5" spans="1:9">
      <c r="A5" s="7" t="s">
        <v>111</v>
      </c>
      <c r="B5" s="7">
        <v>0.16591951526291751</v>
      </c>
    </row>
    <row r="6" spans="1:9">
      <c r="A6" s="7" t="s">
        <v>112</v>
      </c>
      <c r="B6" s="7">
        <v>0.16328834654134944</v>
      </c>
    </row>
    <row r="7" spans="1:9">
      <c r="A7" s="7" t="s">
        <v>113</v>
      </c>
      <c r="B7" s="7">
        <v>94867.72385756555</v>
      </c>
    </row>
    <row r="8" spans="1:9" ht="15" thickBot="1">
      <c r="A8" s="8" t="s">
        <v>114</v>
      </c>
      <c r="B8" s="8">
        <v>319</v>
      </c>
    </row>
    <row r="10" spans="1:9" ht="15" thickBot="1">
      <c r="A10" t="s">
        <v>115</v>
      </c>
    </row>
    <row r="11" spans="1:9">
      <c r="A11" s="9"/>
      <c r="B11" s="9" t="s">
        <v>120</v>
      </c>
      <c r="C11" s="9" t="s">
        <v>121</v>
      </c>
      <c r="D11" s="9" t="s">
        <v>122</v>
      </c>
      <c r="E11" s="9" t="s">
        <v>123</v>
      </c>
      <c r="F11" s="9" t="s">
        <v>124</v>
      </c>
    </row>
    <row r="12" spans="1:9">
      <c r="A12" s="7" t="s">
        <v>116</v>
      </c>
      <c r="B12" s="7">
        <v>1</v>
      </c>
      <c r="C12" s="7">
        <v>567525962643.5542</v>
      </c>
      <c r="D12" s="7">
        <v>567525962643.5542</v>
      </c>
      <c r="E12" s="7">
        <v>63.059245841154329</v>
      </c>
      <c r="F12" s="7">
        <v>3.5154912818723563E-14</v>
      </c>
    </row>
    <row r="13" spans="1:9">
      <c r="A13" s="7" t="s">
        <v>117</v>
      </c>
      <c r="B13" s="7">
        <v>317</v>
      </c>
      <c r="C13" s="7">
        <v>2852963554483.1538</v>
      </c>
      <c r="D13" s="7">
        <v>8999885029.9153118</v>
      </c>
      <c r="E13" s="7"/>
      <c r="F13" s="7"/>
    </row>
    <row r="14" spans="1:9" ht="15" thickBot="1">
      <c r="A14" s="8" t="s">
        <v>118</v>
      </c>
      <c r="B14" s="8">
        <v>318</v>
      </c>
      <c r="C14" s="8">
        <v>3420489517126.708</v>
      </c>
      <c r="D14" s="8"/>
      <c r="E14" s="8"/>
      <c r="F14" s="8"/>
    </row>
    <row r="15" spans="1:9" ht="15" thickBot="1"/>
    <row r="16" spans="1:9">
      <c r="A16" s="9"/>
      <c r="B16" s="9" t="s">
        <v>125</v>
      </c>
      <c r="C16" s="9" t="s">
        <v>113</v>
      </c>
      <c r="D16" s="9" t="s">
        <v>126</v>
      </c>
      <c r="E16" s="9" t="s">
        <v>127</v>
      </c>
      <c r="F16" s="9" t="s">
        <v>128</v>
      </c>
      <c r="G16" s="9" t="s">
        <v>129</v>
      </c>
      <c r="H16" s="9" t="s">
        <v>130</v>
      </c>
      <c r="I16" s="9" t="s">
        <v>131</v>
      </c>
    </row>
    <row r="17" spans="1:9">
      <c r="A17" s="7" t="s">
        <v>119</v>
      </c>
      <c r="B17" s="7">
        <v>561666.39309905062</v>
      </c>
      <c r="C17" s="7">
        <v>15939.582100176702</v>
      </c>
      <c r="D17" s="7">
        <v>35.237209455624573</v>
      </c>
      <c r="E17" s="7">
        <v>1.1664120181453913E-111</v>
      </c>
      <c r="F17" s="7">
        <v>530305.65437634126</v>
      </c>
      <c r="G17" s="7">
        <v>593027.13182175998</v>
      </c>
      <c r="H17" s="7">
        <v>530305.65437634126</v>
      </c>
      <c r="I17" s="7">
        <v>593027.13182175998</v>
      </c>
    </row>
    <row r="18" spans="1:9" ht="15" thickBot="1">
      <c r="A18" s="8" t="s">
        <v>4</v>
      </c>
      <c r="B18" s="8">
        <v>2.1186604114061272</v>
      </c>
      <c r="C18" s="8">
        <v>0.2668007003939295</v>
      </c>
      <c r="D18" s="8">
        <v>7.9409851933594586</v>
      </c>
      <c r="E18" s="8">
        <v>3.5154912818723613E-14</v>
      </c>
      <c r="F18" s="8">
        <v>1.5937365455541401</v>
      </c>
      <c r="G18" s="8">
        <v>2.6435842772581144</v>
      </c>
      <c r="H18" s="8">
        <v>1.5937365455541401</v>
      </c>
      <c r="I18" s="8">
        <v>2.6435842772581144</v>
      </c>
    </row>
    <row r="21" spans="1:9">
      <c r="A2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selection activeCell="D43" sqref="D43"/>
    </sheetView>
  </sheetViews>
  <sheetFormatPr defaultRowHeight="14.25"/>
  <cols>
    <col min="1" max="1" width="21.25" bestFit="1" customWidth="1"/>
    <col min="2" max="2" width="12.5" bestFit="1" customWidth="1"/>
    <col min="3" max="3" width="13.5" bestFit="1" customWidth="1"/>
    <col min="4" max="4" width="12.5" bestFit="1" customWidth="1"/>
    <col min="5" max="5" width="12.25" bestFit="1" customWidth="1"/>
    <col min="6" max="6" width="12.875" bestFit="1" customWidth="1"/>
    <col min="7" max="9" width="12.5" bestFit="1" customWidth="1"/>
  </cols>
  <sheetData>
    <row r="1" spans="1:9">
      <c r="A1" t="s">
        <v>108</v>
      </c>
    </row>
    <row r="2" spans="1:9" ht="15" thickBot="1"/>
    <row r="3" spans="1:9">
      <c r="A3" s="10" t="s">
        <v>109</v>
      </c>
      <c r="B3" s="10"/>
    </row>
    <row r="4" spans="1:9">
      <c r="A4" s="7" t="s">
        <v>110</v>
      </c>
      <c r="B4" s="7">
        <v>0.92573613166855351</v>
      </c>
    </row>
    <row r="5" spans="1:9">
      <c r="A5" s="7" t="s">
        <v>111</v>
      </c>
      <c r="B5" s="7">
        <v>0.85698738547665754</v>
      </c>
    </row>
    <row r="6" spans="1:9">
      <c r="A6" s="7" t="s">
        <v>112</v>
      </c>
      <c r="B6" s="7">
        <v>0.85042287202312705</v>
      </c>
    </row>
    <row r="7" spans="1:9">
      <c r="A7" s="7" t="s">
        <v>113</v>
      </c>
      <c r="B7" s="7">
        <v>40133.892517127199</v>
      </c>
    </row>
    <row r="8" spans="1:9" ht="15" thickBot="1">
      <c r="A8" s="8" t="s">
        <v>114</v>
      </c>
      <c r="B8" s="8">
        <v>320</v>
      </c>
    </row>
    <row r="10" spans="1:9" ht="15" thickBot="1">
      <c r="A10" t="s">
        <v>115</v>
      </c>
    </row>
    <row r="11" spans="1:9">
      <c r="A11" s="9"/>
      <c r="B11" s="9" t="s">
        <v>120</v>
      </c>
      <c r="C11" s="9" t="s">
        <v>121</v>
      </c>
      <c r="D11" s="9" t="s">
        <v>122</v>
      </c>
      <c r="E11" s="9" t="s">
        <v>123</v>
      </c>
      <c r="F11" s="9" t="s">
        <v>124</v>
      </c>
    </row>
    <row r="12" spans="1:9">
      <c r="A12" s="7" t="s">
        <v>116</v>
      </c>
      <c r="B12" s="7">
        <v>14</v>
      </c>
      <c r="C12" s="7">
        <v>2943896171574.9619</v>
      </c>
      <c r="D12" s="7">
        <v>210278297969.64014</v>
      </c>
      <c r="E12" s="7">
        <v>130.54850013533908</v>
      </c>
      <c r="F12" s="7">
        <v>1.2489132306129039E-119</v>
      </c>
    </row>
    <row r="13" spans="1:9">
      <c r="A13" s="7" t="s">
        <v>117</v>
      </c>
      <c r="B13" s="7">
        <v>305</v>
      </c>
      <c r="C13" s="7">
        <v>491272445215.7771</v>
      </c>
      <c r="D13" s="7">
        <v>1610729328.5763183</v>
      </c>
      <c r="E13" s="7"/>
      <c r="F13" s="7"/>
    </row>
    <row r="14" spans="1:9" ht="15" thickBot="1">
      <c r="A14" s="8" t="s">
        <v>118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125</v>
      </c>
      <c r="C16" s="9" t="s">
        <v>113</v>
      </c>
      <c r="D16" s="9" t="s">
        <v>126</v>
      </c>
      <c r="E16" s="9" t="s">
        <v>127</v>
      </c>
      <c r="F16" s="9" t="s">
        <v>128</v>
      </c>
      <c r="G16" s="9" t="s">
        <v>129</v>
      </c>
      <c r="H16" s="9" t="s">
        <v>130</v>
      </c>
      <c r="I16" s="9" t="s">
        <v>131</v>
      </c>
    </row>
    <row r="17" spans="1:9">
      <c r="A17" s="7" t="s">
        <v>119</v>
      </c>
      <c r="B17" s="7">
        <v>66915.468924518587</v>
      </c>
      <c r="C17" s="7">
        <v>45630.387784046776</v>
      </c>
      <c r="D17" s="7">
        <v>1.4664672419881004</v>
      </c>
      <c r="E17" s="7">
        <v>0.14355130040933917</v>
      </c>
      <c r="F17" s="7">
        <v>-22874.743728686015</v>
      </c>
      <c r="G17" s="7">
        <v>156705.68157772318</v>
      </c>
      <c r="H17" s="7">
        <v>-22874.743728686015</v>
      </c>
      <c r="I17" s="7">
        <v>156705.68157772318</v>
      </c>
    </row>
    <row r="18" spans="1:9">
      <c r="A18" s="7" t="s">
        <v>4</v>
      </c>
      <c r="B18" s="7">
        <v>1.2099284920573783</v>
      </c>
      <c r="C18" s="7">
        <v>0.11693921413810565</v>
      </c>
      <c r="D18" s="7">
        <v>10.346644630503915</v>
      </c>
      <c r="E18" s="7">
        <v>1.0557024694110925E-21</v>
      </c>
      <c r="F18" s="7">
        <v>0.9798187468881705</v>
      </c>
      <c r="G18" s="7">
        <v>1.4400382372265861</v>
      </c>
      <c r="H18" s="7">
        <v>0.9798187468881705</v>
      </c>
      <c r="I18" s="7">
        <v>1.4400382372265861</v>
      </c>
    </row>
    <row r="19" spans="1:9">
      <c r="A19" s="7" t="s">
        <v>5</v>
      </c>
      <c r="B19" s="7">
        <v>27.336194815634389</v>
      </c>
      <c r="C19" s="7">
        <v>2.3063597168415475</v>
      </c>
      <c r="D19" s="7">
        <v>11.852528734359806</v>
      </c>
      <c r="E19" s="7">
        <v>6.547570702892124E-27</v>
      </c>
      <c r="F19" s="7">
        <v>22.797804074576753</v>
      </c>
      <c r="G19" s="7">
        <v>31.874585556692026</v>
      </c>
      <c r="H19" s="7">
        <v>22.797804074576753</v>
      </c>
      <c r="I19" s="7">
        <v>31.874585556692026</v>
      </c>
    </row>
    <row r="20" spans="1:9">
      <c r="A20" s="7" t="s">
        <v>6</v>
      </c>
      <c r="B20" s="7">
        <v>-41243.148834222455</v>
      </c>
      <c r="C20" s="7">
        <v>33875.970771640059</v>
      </c>
      <c r="D20" s="7">
        <v>-1.2174750389367432</v>
      </c>
      <c r="E20" s="7">
        <v>0.22436462898846832</v>
      </c>
      <c r="F20" s="7">
        <v>-107903.34540793533</v>
      </c>
      <c r="G20" s="7">
        <v>25417.047739490416</v>
      </c>
      <c r="H20" s="7">
        <v>-107903.34540793533</v>
      </c>
      <c r="I20" s="7">
        <v>25417.047739490416</v>
      </c>
    </row>
    <row r="21" spans="1:9">
      <c r="A21" s="7" t="s">
        <v>7</v>
      </c>
      <c r="B21" s="7">
        <v>3508.3991633992505</v>
      </c>
      <c r="C21" s="7">
        <v>1161.8068351442296</v>
      </c>
      <c r="D21" s="7">
        <v>3.0197783807699059</v>
      </c>
      <c r="E21" s="7">
        <v>2.743413751647196E-3</v>
      </c>
      <c r="F21" s="7">
        <v>1222.2278671294696</v>
      </c>
      <c r="G21" s="7">
        <v>5794.5704596690312</v>
      </c>
      <c r="H21" s="7">
        <v>1222.2278671294696</v>
      </c>
      <c r="I21" s="7">
        <v>5794.5704596690312</v>
      </c>
    </row>
    <row r="22" spans="1:9">
      <c r="A22" s="7" t="s">
        <v>8</v>
      </c>
      <c r="B22" s="7">
        <v>3062.2102855188873</v>
      </c>
      <c r="C22" s="7">
        <v>426.10270671364907</v>
      </c>
      <c r="D22" s="7">
        <v>7.1865544087631523</v>
      </c>
      <c r="E22" s="7">
        <v>5.1341389890714699E-12</v>
      </c>
      <c r="F22" s="7">
        <v>2223.7371866489939</v>
      </c>
      <c r="G22" s="7">
        <v>3900.6833843887807</v>
      </c>
      <c r="H22" s="7">
        <v>2223.7371866489939</v>
      </c>
      <c r="I22" s="7">
        <v>3900.6833843887807</v>
      </c>
    </row>
    <row r="23" spans="1:9">
      <c r="A23" s="7" t="s">
        <v>9</v>
      </c>
      <c r="B23" s="7">
        <v>-3438.1079103628763</v>
      </c>
      <c r="C23" s="7">
        <v>540.28003647917888</v>
      </c>
      <c r="D23" s="7">
        <v>-6.3635664437424992</v>
      </c>
      <c r="E23" s="7">
        <v>7.2150944275525095E-10</v>
      </c>
      <c r="F23" s="7">
        <v>-4501.2559948660555</v>
      </c>
      <c r="G23" s="7">
        <v>-2374.9598258596966</v>
      </c>
      <c r="H23" s="7">
        <v>-4501.2559948660555</v>
      </c>
      <c r="I23" s="7">
        <v>-2374.9598258596966</v>
      </c>
    </row>
    <row r="24" spans="1:9">
      <c r="A24" s="7" t="s">
        <v>10</v>
      </c>
      <c r="B24" s="7">
        <v>15157.287282129988</v>
      </c>
      <c r="C24" s="7">
        <v>6127.8091647488773</v>
      </c>
      <c r="D24" s="7">
        <v>2.4735246928583399</v>
      </c>
      <c r="E24" s="7">
        <v>1.3923163143673069E-2</v>
      </c>
      <c r="F24" s="7">
        <v>3099.1542106985007</v>
      </c>
      <c r="G24" s="7">
        <v>27215.420353561476</v>
      </c>
      <c r="H24" s="7">
        <v>3099.1542106985007</v>
      </c>
      <c r="I24" s="7">
        <v>27215.420353561476</v>
      </c>
    </row>
    <row r="25" spans="1:9">
      <c r="A25" s="7" t="s">
        <v>11</v>
      </c>
      <c r="B25" s="7">
        <v>12509.461305565355</v>
      </c>
      <c r="C25" s="7">
        <v>4448.8855743030499</v>
      </c>
      <c r="D25" s="7">
        <v>2.8118190716840483</v>
      </c>
      <c r="E25" s="7">
        <v>5.2453968408664679E-3</v>
      </c>
      <c r="F25" s="7">
        <v>3755.0675520652821</v>
      </c>
      <c r="G25" s="7">
        <v>21263.855059065427</v>
      </c>
      <c r="H25" s="7">
        <v>3755.0675520652821</v>
      </c>
      <c r="I25" s="7">
        <v>21263.855059065427</v>
      </c>
    </row>
    <row r="26" spans="1:9">
      <c r="A26" s="7" t="s">
        <v>102</v>
      </c>
      <c r="B26" s="7">
        <v>-15342.705306151736</v>
      </c>
      <c r="C26" s="7">
        <v>6672.8091637719654</v>
      </c>
      <c r="D26" s="7">
        <v>-2.2992872910932918</v>
      </c>
      <c r="E26" s="7">
        <v>2.2164147770673548E-2</v>
      </c>
      <c r="F26" s="7">
        <v>-28473.27427358909</v>
      </c>
      <c r="G26" s="7">
        <v>-2212.1363387143815</v>
      </c>
      <c r="H26" s="7">
        <v>-28473.27427358909</v>
      </c>
      <c r="I26" s="7">
        <v>-2212.1363387143815</v>
      </c>
    </row>
    <row r="27" spans="1:9">
      <c r="A27" s="7" t="s">
        <v>103</v>
      </c>
      <c r="B27" s="7">
        <v>-4201.8532174942347</v>
      </c>
      <c r="C27" s="7">
        <v>6810.2061597560396</v>
      </c>
      <c r="D27" s="7">
        <v>-0.61699354159415887</v>
      </c>
      <c r="E27" s="7">
        <v>0.53769928738348494</v>
      </c>
      <c r="F27" s="7">
        <v>-17602.788186327587</v>
      </c>
      <c r="G27" s="7">
        <v>9199.0817513391175</v>
      </c>
      <c r="H27" s="7">
        <v>-17602.788186327587</v>
      </c>
      <c r="I27" s="7">
        <v>9199.0817513391175</v>
      </c>
    </row>
    <row r="28" spans="1:9">
      <c r="A28" s="7" t="s">
        <v>104</v>
      </c>
      <c r="B28" s="7">
        <v>-25291.418908062984</v>
      </c>
      <c r="C28" s="7">
        <v>5898.7976000956241</v>
      </c>
      <c r="D28" s="7">
        <v>-4.287554959955397</v>
      </c>
      <c r="E28" s="7">
        <v>2.4264744378681141E-5</v>
      </c>
      <c r="F28" s="7">
        <v>-36898.909368531436</v>
      </c>
      <c r="G28" s="7">
        <v>-13683.928447594533</v>
      </c>
      <c r="H28" s="7">
        <v>-36898.909368531436</v>
      </c>
      <c r="I28" s="7">
        <v>-13683.928447594533</v>
      </c>
    </row>
    <row r="29" spans="1:9">
      <c r="A29" s="7" t="s">
        <v>105</v>
      </c>
      <c r="B29" s="7">
        <v>32832.853512031252</v>
      </c>
      <c r="C29" s="7">
        <v>6158.372532679462</v>
      </c>
      <c r="D29" s="7">
        <v>5.3314172434037408</v>
      </c>
      <c r="E29" s="7">
        <v>1.8999741399090075E-7</v>
      </c>
      <c r="F29" s="7">
        <v>20714.578692103714</v>
      </c>
      <c r="G29" s="7">
        <v>44951.128331958789</v>
      </c>
      <c r="H29" s="7">
        <v>20714.578692103714</v>
      </c>
      <c r="I29" s="7">
        <v>44951.128331958789</v>
      </c>
    </row>
    <row r="30" spans="1:9">
      <c r="A30" s="7" t="s">
        <v>106</v>
      </c>
      <c r="B30" s="7">
        <v>20219.259073528694</v>
      </c>
      <c r="C30" s="7">
        <v>5565.0328301921654</v>
      </c>
      <c r="D30" s="7">
        <v>3.6332686060417196</v>
      </c>
      <c r="E30" s="7">
        <v>3.2825493713785076E-4</v>
      </c>
      <c r="F30" s="7">
        <v>9268.541678579908</v>
      </c>
      <c r="G30" s="7">
        <v>31169.976468477478</v>
      </c>
      <c r="H30" s="7">
        <v>9268.541678579908</v>
      </c>
      <c r="I30" s="7">
        <v>31169.976468477478</v>
      </c>
    </row>
    <row r="31" spans="1:9" ht="15" thickBot="1">
      <c r="A31" s="8" t="s">
        <v>107</v>
      </c>
      <c r="B31" s="8">
        <v>44695.094897740331</v>
      </c>
      <c r="C31" s="8">
        <v>8748.7921084708596</v>
      </c>
      <c r="D31" s="8">
        <v>5.1087160768702136</v>
      </c>
      <c r="E31" s="8">
        <v>5.7286744398295305E-7</v>
      </c>
      <c r="F31" s="8">
        <v>27479.464217675817</v>
      </c>
      <c r="G31" s="8">
        <v>61910.725577804849</v>
      </c>
      <c r="H31" s="8">
        <v>27479.464217675817</v>
      </c>
      <c r="I31" s="8">
        <v>61910.725577804849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C1:E8"/>
  <sheetViews>
    <sheetView workbookViewId="0">
      <selection activeCell="D21" sqref="D21"/>
    </sheetView>
  </sheetViews>
  <sheetFormatPr defaultRowHeight="14.25"/>
  <cols>
    <col min="3" max="3" width="23.875" customWidth="1"/>
    <col min="4" max="4" width="22.375" customWidth="1"/>
    <col min="5" max="5" width="24.125" customWidth="1"/>
  </cols>
  <sheetData>
    <row r="1" spans="3:5" ht="15">
      <c r="C1" s="17" t="s">
        <v>133</v>
      </c>
      <c r="D1" s="17" t="s">
        <v>135</v>
      </c>
      <c r="E1" s="17" t="s">
        <v>134</v>
      </c>
    </row>
    <row r="2" spans="3:5">
      <c r="C2" s="15" t="s">
        <v>111</v>
      </c>
      <c r="D2" s="15">
        <v>0.16589999999999999</v>
      </c>
      <c r="E2" s="15">
        <v>0.85699999999999998</v>
      </c>
    </row>
    <row r="3" spans="3:5">
      <c r="C3" s="15" t="s">
        <v>112</v>
      </c>
      <c r="D3" s="15">
        <v>0.1633</v>
      </c>
      <c r="E3" s="15">
        <v>0.85040000000000004</v>
      </c>
    </row>
    <row r="4" spans="3:5">
      <c r="C4" s="15" t="s">
        <v>113</v>
      </c>
      <c r="D4" s="15">
        <v>94867.72</v>
      </c>
      <c r="E4" s="15">
        <v>40133.89</v>
      </c>
    </row>
    <row r="5" spans="3:5">
      <c r="C5" s="15" t="s">
        <v>114</v>
      </c>
      <c r="D5" s="15">
        <v>319</v>
      </c>
      <c r="E5" s="15">
        <v>320</v>
      </c>
    </row>
    <row r="6" spans="3:5">
      <c r="C6" s="15" t="s">
        <v>136</v>
      </c>
      <c r="D6" s="16">
        <v>3.5154900000000002E-14</v>
      </c>
      <c r="E6" s="16">
        <v>1.2488999999999999E-119</v>
      </c>
    </row>
    <row r="7" spans="3:5">
      <c r="C7" s="15" t="s">
        <v>137</v>
      </c>
      <c r="D7" s="15">
        <v>1</v>
      </c>
      <c r="E7" s="15">
        <v>14</v>
      </c>
    </row>
    <row r="8" spans="3:5">
      <c r="C8" s="15" t="s">
        <v>138</v>
      </c>
      <c r="D8" s="15" t="s">
        <v>139</v>
      </c>
      <c r="E8" s="1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3"/>
  <sheetViews>
    <sheetView tabSelected="1" workbookViewId="0">
      <pane ySplit="1" topLeftCell="A2" activePane="bottomLeft" state="frozen"/>
      <selection pane="bottomLeft" activeCell="D331" sqref="D331"/>
    </sheetView>
  </sheetViews>
  <sheetFormatPr defaultRowHeight="14.25"/>
  <cols>
    <col min="1" max="1" width="12.625" bestFit="1" customWidth="1"/>
    <col min="2" max="2" width="13.875" bestFit="1" customWidth="1"/>
    <col min="3" max="3" width="12.5" bestFit="1" customWidth="1"/>
    <col min="4" max="4" width="19" customWidth="1"/>
  </cols>
  <sheetData>
    <row r="1" spans="1:4">
      <c r="A1" t="s">
        <v>12</v>
      </c>
      <c r="B1" t="s">
        <v>132</v>
      </c>
      <c r="C1" t="s">
        <v>117</v>
      </c>
      <c r="D1" s="6" t="s">
        <v>141</v>
      </c>
    </row>
    <row r="2" spans="1:4">
      <c r="A2">
        <v>658832.62</v>
      </c>
      <c r="B2">
        <v>710797.01382252423</v>
      </c>
      <c r="C2">
        <v>-51964.393822524231</v>
      </c>
      <c r="D2">
        <f>C2^2</f>
        <v>2700298225.3423944</v>
      </c>
    </row>
    <row r="3" spans="1:4">
      <c r="A3">
        <v>634436</v>
      </c>
      <c r="B3">
        <v>654522.80854066275</v>
      </c>
      <c r="C3">
        <v>-20086.808540662751</v>
      </c>
      <c r="D3">
        <f t="shared" ref="D3:D66" si="0">C3^2</f>
        <v>403479877.34924203</v>
      </c>
    </row>
    <row r="4" spans="1:4">
      <c r="A4">
        <v>678722.06</v>
      </c>
      <c r="B4">
        <v>688620.23258283921</v>
      </c>
      <c r="C4">
        <v>-9898.17258283915</v>
      </c>
      <c r="D4">
        <f t="shared" si="0"/>
        <v>97973820.479668647</v>
      </c>
    </row>
    <row r="5" spans="1:4">
      <c r="A5">
        <v>658920.30000000005</v>
      </c>
      <c r="B5">
        <v>682126.28418387496</v>
      </c>
      <c r="C5">
        <v>-23205.984183874913</v>
      </c>
      <c r="D5">
        <f t="shared" si="0"/>
        <v>538517701.94225264</v>
      </c>
    </row>
    <row r="6" spans="1:4">
      <c r="A6">
        <v>741341.44</v>
      </c>
      <c r="B6">
        <v>664236.33685999503</v>
      </c>
      <c r="C6">
        <v>77105.103140004911</v>
      </c>
      <c r="D6">
        <f t="shared" si="0"/>
        <v>5945196930.2307949</v>
      </c>
    </row>
    <row r="7" spans="1:4">
      <c r="A7">
        <v>761835.34</v>
      </c>
      <c r="B7">
        <v>698979.33791600727</v>
      </c>
      <c r="C7">
        <v>62856.002083992702</v>
      </c>
      <c r="D7">
        <f t="shared" si="0"/>
        <v>3950876997.9828949</v>
      </c>
    </row>
    <row r="8" spans="1:4">
      <c r="A8">
        <v>806615.54</v>
      </c>
      <c r="B8">
        <v>659577.0000707279</v>
      </c>
      <c r="C8">
        <v>147038.53992927214</v>
      </c>
      <c r="D8">
        <f t="shared" si="0"/>
        <v>21620332224.532158</v>
      </c>
    </row>
    <row r="9" spans="1:4">
      <c r="A9">
        <v>850164.26</v>
      </c>
      <c r="B9">
        <v>706049.96449224174</v>
      </c>
      <c r="C9">
        <v>144114.29550775827</v>
      </c>
      <c r="D9">
        <f t="shared" si="0"/>
        <v>20768930169.697475</v>
      </c>
    </row>
    <row r="10" spans="1:4">
      <c r="A10">
        <v>930581.7</v>
      </c>
      <c r="B10">
        <v>713868.54175337148</v>
      </c>
      <c r="C10">
        <v>216713.15824662847</v>
      </c>
      <c r="D10">
        <f t="shared" si="0"/>
        <v>46964592957.228233</v>
      </c>
    </row>
    <row r="11" spans="1:4">
      <c r="A11">
        <v>779010.94</v>
      </c>
      <c r="B11">
        <v>706018.0150932438</v>
      </c>
      <c r="C11">
        <v>72992.924906756147</v>
      </c>
      <c r="D11">
        <f t="shared" si="0"/>
        <v>5327967086.4433422</v>
      </c>
    </row>
    <row r="12" spans="1:4">
      <c r="A12">
        <v>723060.76</v>
      </c>
      <c r="B12">
        <v>634305.11020982126</v>
      </c>
      <c r="C12">
        <v>88755.649790178752</v>
      </c>
      <c r="D12">
        <f t="shared" si="0"/>
        <v>7877565369.676857</v>
      </c>
    </row>
    <row r="13" spans="1:4">
      <c r="A13">
        <v>910791.94</v>
      </c>
      <c r="B13">
        <v>705692.67360053072</v>
      </c>
      <c r="C13">
        <v>205099.26639946923</v>
      </c>
      <c r="D13">
        <f t="shared" si="0"/>
        <v>42065709077.600449</v>
      </c>
    </row>
    <row r="14" spans="1:4">
      <c r="A14">
        <v>922168.6</v>
      </c>
      <c r="B14">
        <v>713846.08395301481</v>
      </c>
      <c r="C14">
        <v>208322.51604698517</v>
      </c>
      <c r="D14">
        <f t="shared" si="0"/>
        <v>43398270692.146393</v>
      </c>
    </row>
    <row r="15" spans="1:4">
      <c r="A15">
        <v>726606.28</v>
      </c>
      <c r="B15">
        <v>679711.41386081302</v>
      </c>
      <c r="C15">
        <v>46894.866139187012</v>
      </c>
      <c r="D15">
        <f t="shared" si="0"/>
        <v>2199128470.2122684</v>
      </c>
    </row>
    <row r="16" spans="1:4">
      <c r="A16">
        <v>746501.09</v>
      </c>
      <c r="B16">
        <v>688594.30017940863</v>
      </c>
      <c r="C16">
        <v>57906.789820591337</v>
      </c>
      <c r="D16">
        <f t="shared" si="0"/>
        <v>3353196307.3261404</v>
      </c>
    </row>
    <row r="17" spans="1:4">
      <c r="A17">
        <v>834017.02</v>
      </c>
      <c r="B17">
        <v>721213.61959924677</v>
      </c>
      <c r="C17">
        <v>112803.40040075325</v>
      </c>
      <c r="D17">
        <f t="shared" si="0"/>
        <v>12724607141.972658</v>
      </c>
    </row>
    <row r="18" spans="1:4">
      <c r="A18">
        <v>666152.52</v>
      </c>
      <c r="B18">
        <v>665065.96190373437</v>
      </c>
      <c r="C18">
        <v>1086.5580962656531</v>
      </c>
      <c r="D18">
        <f t="shared" si="0"/>
        <v>1180608.4965604404</v>
      </c>
    </row>
    <row r="19" spans="1:4">
      <c r="A19">
        <v>573155.18999999994</v>
      </c>
      <c r="B19">
        <v>686917.14741145691</v>
      </c>
      <c r="C19">
        <v>-113761.95741145697</v>
      </c>
      <c r="D19">
        <f t="shared" si="0"/>
        <v>12941782954.086149</v>
      </c>
    </row>
    <row r="20" spans="1:4">
      <c r="A20">
        <v>666573.19999999995</v>
      </c>
      <c r="B20">
        <v>728682.76619879028</v>
      </c>
      <c r="C20">
        <v>-62109.56619879033</v>
      </c>
      <c r="D20">
        <f t="shared" si="0"/>
        <v>3857598213.4019184</v>
      </c>
    </row>
    <row r="21" spans="1:4">
      <c r="A21">
        <v>591619.94999999995</v>
      </c>
      <c r="B21">
        <v>649467.76954643324</v>
      </c>
      <c r="C21">
        <v>-57847.819546433282</v>
      </c>
      <c r="D21">
        <f t="shared" si="0"/>
        <v>3346370226.2767086</v>
      </c>
    </row>
    <row r="22" spans="1:4">
      <c r="A22">
        <v>415721.82</v>
      </c>
      <c r="B22">
        <v>625981.04176123103</v>
      </c>
      <c r="C22">
        <v>-210259.22176123102</v>
      </c>
      <c r="D22">
        <f t="shared" si="0"/>
        <v>44208940335.638527</v>
      </c>
    </row>
    <row r="23" spans="1:4">
      <c r="A23">
        <v>491905.13</v>
      </c>
      <c r="B23">
        <v>632681.51717705966</v>
      </c>
      <c r="C23">
        <v>-140776.38717705966</v>
      </c>
      <c r="D23">
        <f t="shared" si="0"/>
        <v>19817991186.625408</v>
      </c>
    </row>
    <row r="24" spans="1:4">
      <c r="A24">
        <v>555929.4</v>
      </c>
      <c r="B24">
        <v>651216.59659608908</v>
      </c>
      <c r="C24">
        <v>-95287.196596089052</v>
      </c>
      <c r="D24">
        <f t="shared" si="0"/>
        <v>9079649835.1417255</v>
      </c>
    </row>
    <row r="25" spans="1:4">
      <c r="A25">
        <v>565810.99</v>
      </c>
      <c r="B25">
        <v>693151.36923063674</v>
      </c>
      <c r="C25">
        <v>-127340.37923063675</v>
      </c>
      <c r="D25">
        <f t="shared" si="0"/>
        <v>16215572182.602385</v>
      </c>
    </row>
    <row r="26" spans="1:4">
      <c r="A26">
        <v>811771.14</v>
      </c>
      <c r="B26">
        <v>683906.08604873961</v>
      </c>
      <c r="C26">
        <v>127865.0539512604</v>
      </c>
      <c r="D26">
        <f t="shared" si="0"/>
        <v>16349472021.958733</v>
      </c>
    </row>
    <row r="27" spans="1:4">
      <c r="A27">
        <v>800451.94</v>
      </c>
      <c r="B27">
        <v>926956.32956597861</v>
      </c>
      <c r="C27">
        <v>-126504.38956597866</v>
      </c>
      <c r="D27">
        <f t="shared" si="0"/>
        <v>16003360579.460892</v>
      </c>
    </row>
    <row r="28" spans="1:4">
      <c r="A28">
        <v>783672.82</v>
      </c>
      <c r="B28">
        <v>678765.85571938369</v>
      </c>
      <c r="C28">
        <v>104906.96428061626</v>
      </c>
      <c r="D28">
        <f t="shared" si="0"/>
        <v>11005471154.574495</v>
      </c>
    </row>
    <row r="29" spans="1:4">
      <c r="A29">
        <v>701641.97</v>
      </c>
      <c r="B29">
        <v>673351.78853190609</v>
      </c>
      <c r="C29">
        <v>28290.181468093884</v>
      </c>
      <c r="D29">
        <f t="shared" si="0"/>
        <v>800334367.49768269</v>
      </c>
    </row>
    <row r="30" spans="1:4">
      <c r="A30">
        <v>511844.41</v>
      </c>
      <c r="B30">
        <v>707007.81086405483</v>
      </c>
      <c r="C30">
        <v>-195163.40086405486</v>
      </c>
      <c r="D30">
        <f t="shared" si="0"/>
        <v>38088753036.823769</v>
      </c>
    </row>
    <row r="31" spans="1:4">
      <c r="A31">
        <v>537383.79</v>
      </c>
      <c r="B31">
        <v>695516.42984743603</v>
      </c>
      <c r="C31">
        <v>-158132.63984743599</v>
      </c>
      <c r="D31">
        <f t="shared" si="0"/>
        <v>25005931785.1189</v>
      </c>
    </row>
    <row r="32" spans="1:4">
      <c r="A32">
        <v>500173.02</v>
      </c>
      <c r="B32">
        <v>656942.72127550282</v>
      </c>
      <c r="C32">
        <v>-156769.7012755028</v>
      </c>
      <c r="D32">
        <f t="shared" si="0"/>
        <v>24576739238.010384</v>
      </c>
    </row>
    <row r="33" spans="1:4">
      <c r="A33">
        <v>427917.38</v>
      </c>
      <c r="B33">
        <v>709583.52988551988</v>
      </c>
      <c r="C33">
        <v>-281666.14988551987</v>
      </c>
      <c r="D33">
        <f t="shared" si="0"/>
        <v>79335819991.332153</v>
      </c>
    </row>
    <row r="34" spans="1:4">
      <c r="A34">
        <v>641865.03</v>
      </c>
      <c r="B34">
        <v>677340.65404750814</v>
      </c>
      <c r="C34">
        <v>-35475.624047508114</v>
      </c>
      <c r="D34">
        <f t="shared" si="0"/>
        <v>1258519901.5601361</v>
      </c>
    </row>
    <row r="35" spans="1:4">
      <c r="A35">
        <v>799477.76000000001</v>
      </c>
      <c r="B35">
        <v>717964.01826085499</v>
      </c>
      <c r="C35">
        <v>81513.741739145014</v>
      </c>
      <c r="D35">
        <f t="shared" si="0"/>
        <v>6644490092.3160324</v>
      </c>
    </row>
    <row r="36" spans="1:4">
      <c r="A36">
        <v>798952.17</v>
      </c>
      <c r="B36">
        <v>719324.13468490471</v>
      </c>
      <c r="C36">
        <v>79628.035315095331</v>
      </c>
      <c r="D36">
        <f t="shared" si="0"/>
        <v>6340624008.1420689</v>
      </c>
    </row>
    <row r="37" spans="1:4">
      <c r="A37">
        <v>800979.78</v>
      </c>
      <c r="B37">
        <v>672861.67881902948</v>
      </c>
      <c r="C37">
        <v>128118.10118097055</v>
      </c>
      <c r="D37">
        <f t="shared" si="0"/>
        <v>16414247850.217407</v>
      </c>
    </row>
    <row r="38" spans="1:4">
      <c r="A38">
        <v>820593.93</v>
      </c>
      <c r="B38">
        <v>721137.68681011652</v>
      </c>
      <c r="C38">
        <v>99456.243189883535</v>
      </c>
      <c r="D38">
        <f t="shared" si="0"/>
        <v>9891544309.4452553</v>
      </c>
    </row>
    <row r="39" spans="1:4">
      <c r="A39">
        <v>718330.53</v>
      </c>
      <c r="B39">
        <v>691424.61862246355</v>
      </c>
      <c r="C39">
        <v>26905.911377536482</v>
      </c>
      <c r="D39">
        <f t="shared" si="0"/>
        <v>723928067.05584717</v>
      </c>
    </row>
    <row r="40" spans="1:4">
      <c r="A40">
        <v>736633.4</v>
      </c>
      <c r="B40">
        <v>759509.57179129787</v>
      </c>
      <c r="C40">
        <v>-22876.171791297849</v>
      </c>
      <c r="D40">
        <f t="shared" si="0"/>
        <v>523319235.82497144</v>
      </c>
    </row>
    <row r="41" spans="1:4">
      <c r="A41">
        <v>828623.85</v>
      </c>
      <c r="B41">
        <v>699405.14628541004</v>
      </c>
      <c r="C41">
        <v>129218.70371458994</v>
      </c>
      <c r="D41">
        <f t="shared" si="0"/>
        <v>16697473389.67898</v>
      </c>
    </row>
    <row r="42" spans="1:4">
      <c r="A42">
        <v>592195.85</v>
      </c>
      <c r="B42">
        <v>647393.62219066836</v>
      </c>
      <c r="C42">
        <v>-55197.772190668387</v>
      </c>
      <c r="D42">
        <f t="shared" si="0"/>
        <v>3046794054.8129244</v>
      </c>
    </row>
    <row r="43" spans="1:4">
      <c r="A43">
        <v>532644.46</v>
      </c>
      <c r="B43">
        <v>659387.2316577147</v>
      </c>
      <c r="C43">
        <v>-126742.77165771474</v>
      </c>
      <c r="D43">
        <f t="shared" si="0"/>
        <v>16063730167.479618</v>
      </c>
    </row>
    <row r="44" spans="1:4">
      <c r="A44">
        <v>657429.18000000005</v>
      </c>
      <c r="B44">
        <v>705899.58197626891</v>
      </c>
      <c r="C44">
        <v>-48470.401976268855</v>
      </c>
      <c r="D44">
        <f t="shared" si="0"/>
        <v>2349379867.7410879</v>
      </c>
    </row>
    <row r="45" spans="1:4">
      <c r="A45">
        <v>605178</v>
      </c>
      <c r="B45">
        <v>699129.6144989595</v>
      </c>
      <c r="C45">
        <v>-93951.614498959505</v>
      </c>
      <c r="D45">
        <f t="shared" si="0"/>
        <v>8826905866.9610977</v>
      </c>
    </row>
    <row r="46" spans="1:4">
      <c r="A46">
        <v>595467.6</v>
      </c>
      <c r="B46">
        <v>855854.06498621462</v>
      </c>
      <c r="C46">
        <v>-260386.46498621465</v>
      </c>
      <c r="D46">
        <f t="shared" si="0"/>
        <v>67801111148.017189</v>
      </c>
    </row>
    <row r="47" spans="1:4">
      <c r="A47">
        <v>599603.4</v>
      </c>
      <c r="B47">
        <v>696477.19997061626</v>
      </c>
      <c r="C47">
        <v>-96873.799970616237</v>
      </c>
      <c r="D47">
        <f t="shared" si="0"/>
        <v>9384533120.7469673</v>
      </c>
    </row>
    <row r="48" spans="1:4">
      <c r="A48">
        <v>614800.09</v>
      </c>
      <c r="B48">
        <v>667691.89317694015</v>
      </c>
      <c r="C48">
        <v>-52891.803176940186</v>
      </c>
      <c r="D48">
        <f t="shared" si="0"/>
        <v>2797542843.3081799</v>
      </c>
    </row>
    <row r="49" spans="1:4">
      <c r="A49">
        <v>585365.73</v>
      </c>
      <c r="B49">
        <v>650848.94545496826</v>
      </c>
      <c r="C49">
        <v>-65483.215454968275</v>
      </c>
      <c r="D49">
        <f t="shared" si="0"/>
        <v>4288051506.3217959</v>
      </c>
    </row>
    <row r="50" spans="1:4">
      <c r="A50">
        <v>622811.74</v>
      </c>
      <c r="B50">
        <v>660446.92203548457</v>
      </c>
      <c r="C50">
        <v>-37635.182035484584</v>
      </c>
      <c r="D50">
        <f t="shared" si="0"/>
        <v>1416406926.8440616</v>
      </c>
    </row>
    <row r="51" spans="1:4">
      <c r="A51">
        <v>603297.56999999995</v>
      </c>
      <c r="B51">
        <v>666985.6165423292</v>
      </c>
      <c r="C51">
        <v>-63688.046542329248</v>
      </c>
      <c r="D51">
        <f t="shared" si="0"/>
        <v>4056167272.3778963</v>
      </c>
    </row>
    <row r="52" spans="1:4">
      <c r="A52">
        <v>625672.86</v>
      </c>
      <c r="B52">
        <v>663971.94922730629</v>
      </c>
      <c r="C52">
        <v>-38299.089227306307</v>
      </c>
      <c r="D52">
        <f t="shared" si="0"/>
        <v>1466820235.64117</v>
      </c>
    </row>
    <row r="53" spans="1:4">
      <c r="A53">
        <v>773815.14</v>
      </c>
      <c r="B53">
        <v>700041.38000683335</v>
      </c>
      <c r="C53">
        <v>73773.759993166663</v>
      </c>
      <c r="D53">
        <f t="shared" si="0"/>
        <v>5442567663.5293579</v>
      </c>
    </row>
    <row r="54" spans="1:4">
      <c r="A54">
        <v>463534.25</v>
      </c>
      <c r="B54">
        <v>673988.14937295404</v>
      </c>
      <c r="C54">
        <v>-210453.89937295404</v>
      </c>
      <c r="D54">
        <f t="shared" si="0"/>
        <v>44290843761.281464</v>
      </c>
    </row>
    <row r="55" spans="1:4">
      <c r="A55">
        <v>746677.75</v>
      </c>
      <c r="B55">
        <v>773265.50417481805</v>
      </c>
      <c r="C55">
        <v>-26587.754174818052</v>
      </c>
      <c r="D55">
        <f t="shared" si="0"/>
        <v>706908672.06055474</v>
      </c>
    </row>
    <row r="56" spans="1:4">
      <c r="A56">
        <v>720852.5</v>
      </c>
      <c r="B56">
        <v>733692.08450135053</v>
      </c>
      <c r="C56">
        <v>-12839.584501350531</v>
      </c>
      <c r="D56">
        <f t="shared" si="0"/>
        <v>164854930.16732076</v>
      </c>
    </row>
    <row r="57" spans="1:4">
      <c r="A57">
        <v>487464.91</v>
      </c>
      <c r="B57">
        <v>620583.37300533464</v>
      </c>
      <c r="C57">
        <v>-133118.46300533466</v>
      </c>
      <c r="D57">
        <f t="shared" si="0"/>
        <v>17720525192.902653</v>
      </c>
    </row>
    <row r="58" spans="1:4">
      <c r="A58">
        <v>518049.26</v>
      </c>
      <c r="B58">
        <v>602694.37907863967</v>
      </c>
      <c r="C58">
        <v>-84645.119078639662</v>
      </c>
      <c r="D58">
        <f t="shared" si="0"/>
        <v>7164796183.8370876</v>
      </c>
    </row>
    <row r="59" spans="1:4">
      <c r="A59">
        <v>500298.48</v>
      </c>
      <c r="B59">
        <v>687526.85550453444</v>
      </c>
      <c r="C59">
        <v>-187228.37550453446</v>
      </c>
      <c r="D59">
        <f t="shared" si="0"/>
        <v>35054464594.066956</v>
      </c>
    </row>
    <row r="60" spans="1:4">
      <c r="A60">
        <v>617291.15</v>
      </c>
      <c r="B60">
        <v>813597.31952900719</v>
      </c>
      <c r="C60">
        <v>-196306.16952900717</v>
      </c>
      <c r="D60">
        <f t="shared" si="0"/>
        <v>38536112195.151299</v>
      </c>
    </row>
    <row r="61" spans="1:4">
      <c r="A61">
        <v>553756.43000000005</v>
      </c>
      <c r="B61">
        <v>673853.95342252136</v>
      </c>
      <c r="C61">
        <v>-120097.52342252131</v>
      </c>
      <c r="D61">
        <f t="shared" si="0"/>
        <v>14423415132.223053</v>
      </c>
    </row>
    <row r="62" spans="1:4">
      <c r="A62">
        <v>749559.71</v>
      </c>
      <c r="B62">
        <v>720370.96479397977</v>
      </c>
      <c r="C62">
        <v>29188.74520602019</v>
      </c>
      <c r="D62">
        <f t="shared" si="0"/>
        <v>851982846.70196664</v>
      </c>
    </row>
    <row r="63" spans="1:4">
      <c r="A63">
        <v>615966.48</v>
      </c>
      <c r="B63">
        <v>640659.92617959529</v>
      </c>
      <c r="C63">
        <v>-24693.44617959531</v>
      </c>
      <c r="D63">
        <f t="shared" si="0"/>
        <v>609766284.22457027</v>
      </c>
    </row>
    <row r="64" spans="1:4">
      <c r="A64">
        <v>572011.19999999995</v>
      </c>
      <c r="B64">
        <v>668326.51671645103</v>
      </c>
      <c r="C64">
        <v>-96315.316716451081</v>
      </c>
      <c r="D64">
        <f t="shared" si="0"/>
        <v>9276640234.1902809</v>
      </c>
    </row>
    <row r="65" spans="1:4">
      <c r="A65">
        <v>761860.19</v>
      </c>
      <c r="B65">
        <v>720469.46131648717</v>
      </c>
      <c r="C65">
        <v>41390.728683512774</v>
      </c>
      <c r="D65">
        <f t="shared" si="0"/>
        <v>1713192420.952167</v>
      </c>
    </row>
    <row r="66" spans="1:4">
      <c r="A66">
        <v>784502.68</v>
      </c>
      <c r="B66">
        <v>710058.02507116739</v>
      </c>
      <c r="C66">
        <v>74444.654928832664</v>
      </c>
      <c r="D66">
        <f t="shared" si="0"/>
        <v>5542006647.4729691</v>
      </c>
    </row>
    <row r="67" spans="1:4">
      <c r="A67">
        <v>717141.55</v>
      </c>
      <c r="B67">
        <v>670033.09767751163</v>
      </c>
      <c r="C67">
        <v>47108.452322488418</v>
      </c>
      <c r="D67">
        <f t="shared" ref="D67:D130" si="1">C67^2</f>
        <v>2219206280.2201643</v>
      </c>
    </row>
    <row r="68" spans="1:4">
      <c r="A68">
        <v>685379.08</v>
      </c>
      <c r="B68">
        <v>729773.83393724705</v>
      </c>
      <c r="C68">
        <v>-44394.753937247093</v>
      </c>
      <c r="D68">
        <f t="shared" si="1"/>
        <v>1970894177.1487162</v>
      </c>
    </row>
    <row r="69" spans="1:4">
      <c r="A69">
        <v>740496.65</v>
      </c>
      <c r="B69">
        <v>650689.11371356237</v>
      </c>
      <c r="C69">
        <v>89807.536286437651</v>
      </c>
      <c r="D69">
        <f t="shared" si="1"/>
        <v>8065393573.8398151</v>
      </c>
    </row>
    <row r="70" spans="1:4">
      <c r="A70">
        <v>661927.14</v>
      </c>
      <c r="B70">
        <v>711958.31515360565</v>
      </c>
      <c r="C70">
        <v>-50031.17515360564</v>
      </c>
      <c r="D70">
        <f t="shared" si="1"/>
        <v>2503118487.2507663</v>
      </c>
    </row>
    <row r="71" spans="1:4">
      <c r="A71">
        <v>479050.5</v>
      </c>
      <c r="B71">
        <v>639661.59220732795</v>
      </c>
      <c r="C71">
        <v>-160611.09220732795</v>
      </c>
      <c r="D71">
        <f t="shared" si="1"/>
        <v>25795922940.0308</v>
      </c>
    </row>
    <row r="72" spans="1:4">
      <c r="A72">
        <v>605023.87</v>
      </c>
      <c r="B72">
        <v>689997.51015621796</v>
      </c>
      <c r="C72">
        <v>-84973.640156217967</v>
      </c>
      <c r="D72">
        <f t="shared" si="1"/>
        <v>7220519521.3984184</v>
      </c>
    </row>
    <row r="73" spans="1:4">
      <c r="A73">
        <v>674774.09</v>
      </c>
      <c r="B73">
        <v>678364.66618395678</v>
      </c>
      <c r="C73">
        <v>-3590.5761839568149</v>
      </c>
      <c r="D73">
        <f t="shared" si="1"/>
        <v>12892237.332797883</v>
      </c>
    </row>
    <row r="74" spans="1:4">
      <c r="A74">
        <v>616069.41</v>
      </c>
      <c r="B74">
        <v>659551.59733240004</v>
      </c>
      <c r="C74">
        <v>-43482.187332400004</v>
      </c>
      <c r="D74">
        <f t="shared" si="1"/>
        <v>1890700615.2099273</v>
      </c>
    </row>
    <row r="75" spans="1:4">
      <c r="A75">
        <v>630829.93999999994</v>
      </c>
      <c r="B75">
        <v>675571.76328376005</v>
      </c>
      <c r="C75">
        <v>-44741.82328376011</v>
      </c>
      <c r="D75">
        <f t="shared" si="1"/>
        <v>2001830750.7552183</v>
      </c>
    </row>
    <row r="76" spans="1:4">
      <c r="A76">
        <v>788087.68</v>
      </c>
      <c r="B76">
        <v>710279.36152430461</v>
      </c>
      <c r="C76">
        <v>77808.318475695443</v>
      </c>
      <c r="D76">
        <f t="shared" si="1"/>
        <v>6054134424.0152493</v>
      </c>
    </row>
    <row r="77" spans="1:4">
      <c r="A77">
        <v>680840.36</v>
      </c>
      <c r="B77">
        <v>686136.90834189788</v>
      </c>
      <c r="C77">
        <v>-5296.5483418978984</v>
      </c>
      <c r="D77">
        <f t="shared" si="1"/>
        <v>28053424.338061377</v>
      </c>
    </row>
    <row r="78" spans="1:4">
      <c r="A78">
        <v>643657.47</v>
      </c>
      <c r="B78">
        <v>682373.21405477694</v>
      </c>
      <c r="C78">
        <v>-38715.744054776966</v>
      </c>
      <c r="D78">
        <f t="shared" si="1"/>
        <v>1498908837.714998</v>
      </c>
    </row>
    <row r="79" spans="1:4">
      <c r="A79">
        <v>691112.6</v>
      </c>
      <c r="B79">
        <v>677923.26447392907</v>
      </c>
      <c r="C79">
        <v>13189.335526070907</v>
      </c>
      <c r="D79">
        <f t="shared" si="1"/>
        <v>173958571.61927614</v>
      </c>
    </row>
    <row r="80" spans="1:4">
      <c r="A80">
        <v>776922.17</v>
      </c>
      <c r="B80">
        <v>732351.62924591487</v>
      </c>
      <c r="C80">
        <v>44570.540754085174</v>
      </c>
      <c r="D80">
        <f t="shared" si="1"/>
        <v>1986533103.1115673</v>
      </c>
    </row>
    <row r="81" spans="1:4">
      <c r="A81">
        <v>636561.34</v>
      </c>
      <c r="B81">
        <v>726921.69329195889</v>
      </c>
      <c r="C81">
        <v>-90360.35329195892</v>
      </c>
      <c r="D81">
        <f t="shared" si="1"/>
        <v>8164993447.0476313</v>
      </c>
    </row>
    <row r="82" spans="1:4">
      <c r="A82">
        <v>621369.57999999996</v>
      </c>
      <c r="B82">
        <v>690652.57876869512</v>
      </c>
      <c r="C82">
        <v>-69282.998768695164</v>
      </c>
      <c r="D82">
        <f t="shared" si="1"/>
        <v>4800133918.3830156</v>
      </c>
    </row>
    <row r="83" spans="1:4">
      <c r="A83">
        <v>682208.01</v>
      </c>
      <c r="B83">
        <v>690117.3415890641</v>
      </c>
      <c r="C83">
        <v>-7909.3315890640952</v>
      </c>
      <c r="D83">
        <f t="shared" si="1"/>
        <v>62557526.185767166</v>
      </c>
    </row>
    <row r="84" spans="1:4">
      <c r="A84">
        <v>727241.86</v>
      </c>
      <c r="B84">
        <v>715758.9800648985</v>
      </c>
      <c r="C84">
        <v>11482.87993510149</v>
      </c>
      <c r="D84">
        <f t="shared" si="1"/>
        <v>131856531.60395639</v>
      </c>
    </row>
    <row r="85" spans="1:4">
      <c r="A85">
        <v>569100.78</v>
      </c>
      <c r="B85">
        <v>638946.03584011679</v>
      </c>
      <c r="C85">
        <v>-69845.255840116763</v>
      </c>
      <c r="D85">
        <f t="shared" si="1"/>
        <v>4878359763.3713646</v>
      </c>
    </row>
    <row r="86" spans="1:4">
      <c r="A86">
        <v>574436.29</v>
      </c>
      <c r="B86">
        <v>679014.98899711319</v>
      </c>
      <c r="C86">
        <v>-104578.69899711316</v>
      </c>
      <c r="D86">
        <f t="shared" si="1"/>
        <v>10936704283.928797</v>
      </c>
    </row>
    <row r="87" spans="1:4">
      <c r="A87">
        <v>611766.72</v>
      </c>
      <c r="B87">
        <v>749048.70719858946</v>
      </c>
      <c r="C87">
        <v>-137281.98719858949</v>
      </c>
      <c r="D87">
        <f t="shared" si="1"/>
        <v>18846344009.193687</v>
      </c>
    </row>
    <row r="88" spans="1:4">
      <c r="A88">
        <v>614596.31999999995</v>
      </c>
      <c r="B88">
        <v>727413.24369391496</v>
      </c>
      <c r="C88">
        <v>-112816.92369391501</v>
      </c>
      <c r="D88">
        <f t="shared" si="1"/>
        <v>12727658271.758642</v>
      </c>
    </row>
    <row r="89" spans="1:4">
      <c r="A89">
        <v>450711.92</v>
      </c>
      <c r="B89">
        <v>601913.14423868747</v>
      </c>
      <c r="C89">
        <v>-151201.22423868749</v>
      </c>
      <c r="D89">
        <f t="shared" si="1"/>
        <v>22861810211.277855</v>
      </c>
    </row>
    <row r="90" spans="1:4">
      <c r="A90">
        <v>711213.46</v>
      </c>
      <c r="B90">
        <v>668696.75262327329</v>
      </c>
      <c r="C90">
        <v>42516.70737672667</v>
      </c>
      <c r="D90">
        <f t="shared" si="1"/>
        <v>1807670406.1582041</v>
      </c>
    </row>
    <row r="91" spans="1:4">
      <c r="A91">
        <v>627171.9</v>
      </c>
      <c r="B91">
        <v>861542.20208445913</v>
      </c>
      <c r="C91">
        <v>-234370.30208445911</v>
      </c>
      <c r="D91">
        <f t="shared" si="1"/>
        <v>54929438499.160614</v>
      </c>
    </row>
    <row r="92" spans="1:4">
      <c r="A92">
        <v>739852.58</v>
      </c>
      <c r="B92">
        <v>735642.71395515406</v>
      </c>
      <c r="C92">
        <v>4209.8660448458977</v>
      </c>
      <c r="D92">
        <f t="shared" si="1"/>
        <v>17722972.115546443</v>
      </c>
    </row>
    <row r="93" spans="1:4">
      <c r="A93">
        <v>586307.22</v>
      </c>
      <c r="B93">
        <v>627784.50906288659</v>
      </c>
      <c r="C93">
        <v>-41477.289062886615</v>
      </c>
      <c r="D93">
        <f t="shared" si="1"/>
        <v>1720365508.0062537</v>
      </c>
    </row>
    <row r="94" spans="1:4">
      <c r="A94">
        <v>585937.48</v>
      </c>
      <c r="B94">
        <v>644223.36468466849</v>
      </c>
      <c r="C94">
        <v>-58285.884684668505</v>
      </c>
      <c r="D94">
        <f t="shared" si="1"/>
        <v>3397244353.4744744</v>
      </c>
    </row>
    <row r="95" spans="1:4">
      <c r="A95">
        <v>753473.55</v>
      </c>
      <c r="B95">
        <v>704547.36815555231</v>
      </c>
      <c r="C95">
        <v>48926.181844447739</v>
      </c>
      <c r="D95">
        <f t="shared" si="1"/>
        <v>2393771269.8759675</v>
      </c>
    </row>
    <row r="96" spans="1:4">
      <c r="A96">
        <v>838250.32</v>
      </c>
      <c r="B96">
        <v>744765.00890019268</v>
      </c>
      <c r="C96">
        <v>93485.311099807266</v>
      </c>
      <c r="D96">
        <f t="shared" si="1"/>
        <v>8739503391.4277477</v>
      </c>
    </row>
    <row r="97" spans="1:4">
      <c r="A97">
        <v>607898.12</v>
      </c>
      <c r="B97">
        <v>581867.07858774113</v>
      </c>
      <c r="C97">
        <v>26031.04141225887</v>
      </c>
      <c r="D97">
        <f t="shared" si="1"/>
        <v>677615117.00673628</v>
      </c>
    </row>
    <row r="98" spans="1:4">
      <c r="A98">
        <v>691113.62</v>
      </c>
      <c r="B98">
        <v>691184.48965148081</v>
      </c>
      <c r="C98">
        <v>-70.869651480810717</v>
      </c>
      <c r="D98">
        <f t="shared" si="1"/>
        <v>5022.507501011577</v>
      </c>
    </row>
    <row r="99" spans="1:4">
      <c r="A99">
        <v>735509.4</v>
      </c>
      <c r="B99">
        <v>728700.28752038931</v>
      </c>
      <c r="C99">
        <v>6809.1124796107179</v>
      </c>
      <c r="D99">
        <f t="shared" si="1"/>
        <v>46364012.759990416</v>
      </c>
    </row>
    <row r="100" spans="1:4">
      <c r="A100">
        <v>605775.32999999996</v>
      </c>
      <c r="B100">
        <v>643770.41627540078</v>
      </c>
      <c r="C100">
        <v>-37995.086275400827</v>
      </c>
      <c r="D100">
        <f t="shared" si="1"/>
        <v>1443626581.0751522</v>
      </c>
    </row>
    <row r="101" spans="1:4">
      <c r="A101">
        <v>675177.68</v>
      </c>
      <c r="B101">
        <v>678406.91227255203</v>
      </c>
      <c r="C101">
        <v>-3229.2322725519771</v>
      </c>
      <c r="D101">
        <f t="shared" si="1"/>
        <v>10427941.070091207</v>
      </c>
    </row>
    <row r="102" spans="1:4">
      <c r="A102">
        <v>635181.35</v>
      </c>
      <c r="B102">
        <v>674134.9725394363</v>
      </c>
      <c r="C102">
        <v>-38953.622539436328</v>
      </c>
      <c r="D102">
        <f t="shared" si="1"/>
        <v>1517384708.9448819</v>
      </c>
    </row>
    <row r="103" spans="1:4">
      <c r="A103">
        <v>586626.93999999994</v>
      </c>
      <c r="B103">
        <v>695357.23370415345</v>
      </c>
      <c r="C103">
        <v>-108730.2937041535</v>
      </c>
      <c r="D103">
        <f t="shared" si="1"/>
        <v>11822276768.991484</v>
      </c>
    </row>
    <row r="104" spans="1:4">
      <c r="A104">
        <v>740102.64</v>
      </c>
      <c r="B104">
        <v>752524.64502868836</v>
      </c>
      <c r="C104">
        <v>-12422.005028688349</v>
      </c>
      <c r="D104">
        <f t="shared" si="1"/>
        <v>154306208.93275863</v>
      </c>
    </row>
    <row r="105" spans="1:4">
      <c r="A105">
        <v>625514.04</v>
      </c>
      <c r="B105">
        <v>630028.44586398907</v>
      </c>
      <c r="C105">
        <v>-4514.4058639890281</v>
      </c>
      <c r="D105">
        <f t="shared" si="1"/>
        <v>20379860.304818522</v>
      </c>
    </row>
    <row r="106" spans="1:4">
      <c r="A106">
        <v>727227.2</v>
      </c>
      <c r="B106">
        <v>684377.23375093774</v>
      </c>
      <c r="C106">
        <v>42849.966249062214</v>
      </c>
      <c r="D106">
        <f t="shared" si="1"/>
        <v>1836119607.5457709</v>
      </c>
    </row>
    <row r="107" spans="1:4">
      <c r="A107">
        <v>783797.89</v>
      </c>
      <c r="B107">
        <v>719886.5754642128</v>
      </c>
      <c r="C107">
        <v>63911.314535787213</v>
      </c>
      <c r="D107">
        <f t="shared" si="1"/>
        <v>4084656125.6923261</v>
      </c>
    </row>
    <row r="108" spans="1:4">
      <c r="A108">
        <v>795153.84</v>
      </c>
      <c r="B108">
        <v>697884.03285672853</v>
      </c>
      <c r="C108">
        <v>97269.807143271435</v>
      </c>
      <c r="D108">
        <f t="shared" si="1"/>
        <v>9461415381.6892185</v>
      </c>
    </row>
    <row r="109" spans="1:4">
      <c r="A109">
        <v>665594.93999999994</v>
      </c>
      <c r="B109">
        <v>627433.91313807433</v>
      </c>
      <c r="C109">
        <v>38161.026861925609</v>
      </c>
      <c r="D109">
        <f t="shared" si="1"/>
        <v>1456263971.1566079</v>
      </c>
    </row>
    <row r="110" spans="1:4">
      <c r="A110">
        <v>709478.39</v>
      </c>
      <c r="B110">
        <v>721127.41130712326</v>
      </c>
      <c r="C110">
        <v>-11649.021307123243</v>
      </c>
      <c r="D110">
        <f t="shared" si="1"/>
        <v>135699697.4138113</v>
      </c>
    </row>
    <row r="111" spans="1:4">
      <c r="A111">
        <v>664162.49</v>
      </c>
      <c r="B111">
        <v>708726.21395020862</v>
      </c>
      <c r="C111">
        <v>-44563.72395020863</v>
      </c>
      <c r="D111">
        <f t="shared" si="1"/>
        <v>1985925492.3103983</v>
      </c>
    </row>
    <row r="112" spans="1:4">
      <c r="A112">
        <v>633494.21</v>
      </c>
      <c r="B112">
        <v>669837.03684307763</v>
      </c>
      <c r="C112">
        <v>-36342.826843077666</v>
      </c>
      <c r="D112">
        <f t="shared" si="1"/>
        <v>1320801062.9459267</v>
      </c>
    </row>
    <row r="113" spans="1:4">
      <c r="A113">
        <v>713611.16</v>
      </c>
      <c r="B113">
        <v>673442.70025014214</v>
      </c>
      <c r="C113">
        <v>40168.459749857895</v>
      </c>
      <c r="D113">
        <f t="shared" si="1"/>
        <v>1613505158.6759539</v>
      </c>
    </row>
    <row r="114" spans="1:4">
      <c r="A114">
        <v>778397.97</v>
      </c>
      <c r="B114">
        <v>691807.31225250242</v>
      </c>
      <c r="C114">
        <v>86590.657747497549</v>
      </c>
      <c r="D114">
        <f t="shared" si="1"/>
        <v>7497942009.1442575</v>
      </c>
    </row>
    <row r="115" spans="1:4">
      <c r="A115">
        <v>873380.02</v>
      </c>
      <c r="B115">
        <v>731532.83055687579</v>
      </c>
      <c r="C115">
        <v>141847.18944312423</v>
      </c>
      <c r="D115">
        <f t="shared" si="1"/>
        <v>20120625152.913574</v>
      </c>
    </row>
    <row r="116" spans="1:4">
      <c r="A116">
        <v>697287.9</v>
      </c>
      <c r="B116">
        <v>632864.35757052898</v>
      </c>
      <c r="C116">
        <v>64423.542429471039</v>
      </c>
      <c r="D116">
        <f t="shared" si="1"/>
        <v>4150392819.1618552</v>
      </c>
    </row>
    <row r="117" spans="1:4">
      <c r="A117">
        <v>718074.79</v>
      </c>
      <c r="B117">
        <v>616731.52125851193</v>
      </c>
      <c r="C117">
        <v>101343.26874148811</v>
      </c>
      <c r="D117">
        <f t="shared" si="1"/>
        <v>10270458119.20948</v>
      </c>
    </row>
    <row r="118" spans="1:4">
      <c r="A118">
        <v>714942.43</v>
      </c>
      <c r="B118">
        <v>654220.36976699252</v>
      </c>
      <c r="C118">
        <v>60722.060233007534</v>
      </c>
      <c r="D118">
        <f t="shared" si="1"/>
        <v>3687168598.9409952</v>
      </c>
    </row>
    <row r="119" spans="1:4">
      <c r="A119">
        <v>820519.04</v>
      </c>
      <c r="B119">
        <v>683192.77546156407</v>
      </c>
      <c r="C119">
        <v>137326.26453843596</v>
      </c>
      <c r="D119">
        <f t="shared" si="1"/>
        <v>18858502932.080494</v>
      </c>
    </row>
    <row r="120" spans="1:4">
      <c r="A120">
        <v>684217.32</v>
      </c>
      <c r="B120">
        <v>651530.37020295812</v>
      </c>
      <c r="C120">
        <v>32686.949797041831</v>
      </c>
      <c r="D120">
        <f t="shared" si="1"/>
        <v>1068436687.034333</v>
      </c>
    </row>
    <row r="121" spans="1:4">
      <c r="A121">
        <v>735480.19</v>
      </c>
      <c r="B121">
        <v>678126.99485905073</v>
      </c>
      <c r="C121">
        <v>57353.195140949218</v>
      </c>
      <c r="D121">
        <f t="shared" si="1"/>
        <v>3289388992.8758011</v>
      </c>
    </row>
    <row r="122" spans="1:4">
      <c r="A122">
        <v>509484.81</v>
      </c>
      <c r="B122">
        <v>654667.3859271094</v>
      </c>
      <c r="C122">
        <v>-145182.5759271094</v>
      </c>
      <c r="D122">
        <f t="shared" si="1"/>
        <v>21077980352.830887</v>
      </c>
    </row>
    <row r="123" spans="1:4">
      <c r="A123">
        <v>654317.09</v>
      </c>
      <c r="B123">
        <v>737608.78844335384</v>
      </c>
      <c r="C123">
        <v>-83291.698443353875</v>
      </c>
      <c r="D123">
        <f t="shared" si="1"/>
        <v>6937507029.578598</v>
      </c>
    </row>
    <row r="124" spans="1:4">
      <c r="A124">
        <v>557487.26</v>
      </c>
      <c r="B124">
        <v>664201.35777660937</v>
      </c>
      <c r="C124">
        <v>-106714.09777660936</v>
      </c>
      <c r="D124">
        <f t="shared" si="1"/>
        <v>11387898664.275742</v>
      </c>
    </row>
    <row r="125" spans="1:4">
      <c r="A125">
        <v>441275.42</v>
      </c>
      <c r="B125">
        <v>602055.43347189028</v>
      </c>
      <c r="C125">
        <v>-160780.0134718903</v>
      </c>
      <c r="D125">
        <f t="shared" si="1"/>
        <v>25850212732.021225</v>
      </c>
    </row>
    <row r="126" spans="1:4">
      <c r="A126">
        <v>914544.17</v>
      </c>
      <c r="B126">
        <v>692051.31837203726</v>
      </c>
      <c r="C126">
        <v>222492.85162796278</v>
      </c>
      <c r="D126">
        <f t="shared" si="1"/>
        <v>49503069025.542664</v>
      </c>
    </row>
    <row r="127" spans="1:4">
      <c r="A127">
        <v>842439.67</v>
      </c>
      <c r="B127">
        <v>656470.09051101701</v>
      </c>
      <c r="C127">
        <v>185969.57948898303</v>
      </c>
      <c r="D127">
        <f t="shared" si="1"/>
        <v>34584684495.309174</v>
      </c>
    </row>
    <row r="128" spans="1:4">
      <c r="A128">
        <v>842157.92</v>
      </c>
      <c r="B128">
        <v>681408.63034285686</v>
      </c>
      <c r="C128">
        <v>160749.28965714318</v>
      </c>
      <c r="D128">
        <f t="shared" si="1"/>
        <v>25840334125.276119</v>
      </c>
    </row>
    <row r="129" spans="1:4">
      <c r="A129">
        <v>697155.3</v>
      </c>
      <c r="B129">
        <v>641812.13845751353</v>
      </c>
      <c r="C129">
        <v>55343.161542486516</v>
      </c>
      <c r="D129">
        <f t="shared" si="1"/>
        <v>3062865529.5177584</v>
      </c>
    </row>
    <row r="130" spans="1:4">
      <c r="A130">
        <v>849018.3</v>
      </c>
      <c r="B130">
        <v>702028.76821876783</v>
      </c>
      <c r="C130">
        <v>146989.53178123222</v>
      </c>
      <c r="D130">
        <f t="shared" si="1"/>
        <v>21605922453.265877</v>
      </c>
    </row>
    <row r="131" spans="1:4">
      <c r="A131">
        <v>801830.35</v>
      </c>
      <c r="B131">
        <v>706605.92217069224</v>
      </c>
      <c r="C131">
        <v>95224.427829307737</v>
      </c>
      <c r="D131">
        <f t="shared" ref="D131:D194" si="2">C131^2</f>
        <v>9067691655.4190369</v>
      </c>
    </row>
    <row r="132" spans="1:4">
      <c r="A132">
        <v>725235.28</v>
      </c>
      <c r="B132">
        <v>669157.96380814398</v>
      </c>
      <c r="C132">
        <v>56077.316191856051</v>
      </c>
      <c r="D132">
        <f t="shared" si="2"/>
        <v>3144665391.2814007</v>
      </c>
    </row>
    <row r="133" spans="1:4">
      <c r="A133">
        <v>811452.72</v>
      </c>
      <c r="B133">
        <v>702463.66564133379</v>
      </c>
      <c r="C133">
        <v>108989.05435866618</v>
      </c>
      <c r="D133">
        <f t="shared" si="2"/>
        <v>11878613969.996292</v>
      </c>
    </row>
    <row r="134" spans="1:4">
      <c r="A134">
        <v>527300.13</v>
      </c>
      <c r="B134">
        <v>710557.96536835108</v>
      </c>
      <c r="C134">
        <v>-183257.83536835108</v>
      </c>
      <c r="D134">
        <f t="shared" si="2"/>
        <v>33583434223.893669</v>
      </c>
    </row>
    <row r="135" spans="1:4">
      <c r="A135">
        <v>400831.65</v>
      </c>
      <c r="B135">
        <v>608428.70297384402</v>
      </c>
      <c r="C135">
        <v>-207597.05297384399</v>
      </c>
      <c r="D135">
        <f t="shared" si="2"/>
        <v>43096536403.424988</v>
      </c>
    </row>
    <row r="136" spans="1:4">
      <c r="A136">
        <v>593247.25</v>
      </c>
      <c r="B136">
        <v>672441.50608631992</v>
      </c>
      <c r="C136">
        <v>-79194.256086319918</v>
      </c>
      <c r="D136">
        <f t="shared" si="2"/>
        <v>6271730197.0656195</v>
      </c>
    </row>
    <row r="137" spans="1:4">
      <c r="A137">
        <v>529075.94999999995</v>
      </c>
      <c r="B137">
        <v>710749.66176233836</v>
      </c>
      <c r="C137">
        <v>-181673.71176233841</v>
      </c>
      <c r="D137">
        <f t="shared" si="2"/>
        <v>33005337545.505219</v>
      </c>
    </row>
    <row r="138" spans="1:4">
      <c r="A138">
        <v>633638.03</v>
      </c>
      <c r="B138">
        <v>712770.65192839131</v>
      </c>
      <c r="C138">
        <v>-79132.62192839128</v>
      </c>
      <c r="D138">
        <f t="shared" si="2"/>
        <v>6261971853.2617121</v>
      </c>
    </row>
    <row r="139" spans="1:4">
      <c r="A139">
        <v>743348.84</v>
      </c>
      <c r="B139">
        <v>720798.27741227439</v>
      </c>
      <c r="C139">
        <v>22550.562587725581</v>
      </c>
      <c r="D139">
        <f t="shared" si="2"/>
        <v>508527873.02292866</v>
      </c>
    </row>
    <row r="140" spans="1:4">
      <c r="A140">
        <v>758827.64</v>
      </c>
      <c r="B140">
        <v>709504.39791916893</v>
      </c>
      <c r="C140">
        <v>49323.242080831085</v>
      </c>
      <c r="D140">
        <f t="shared" si="2"/>
        <v>2432782209.3642664</v>
      </c>
    </row>
    <row r="141" spans="1:4">
      <c r="A141">
        <v>646559.71</v>
      </c>
      <c r="B141">
        <v>655336.50125811144</v>
      </c>
      <c r="C141">
        <v>-8776.7912581114797</v>
      </c>
      <c r="D141">
        <f t="shared" si="2"/>
        <v>77032064.788462088</v>
      </c>
    </row>
    <row r="142" spans="1:4">
      <c r="A142">
        <v>715890.53</v>
      </c>
      <c r="B142">
        <v>670629.75482245744</v>
      </c>
      <c r="C142">
        <v>45260.775177542586</v>
      </c>
      <c r="D142">
        <f t="shared" si="2"/>
        <v>2048537769.672055</v>
      </c>
    </row>
    <row r="143" spans="1:4">
      <c r="A143">
        <v>715097.57</v>
      </c>
      <c r="B143">
        <v>658502.92398876743</v>
      </c>
      <c r="C143">
        <v>56594.646011232515</v>
      </c>
      <c r="D143">
        <f t="shared" si="2"/>
        <v>3202953957.1367164</v>
      </c>
    </row>
    <row r="144" spans="1:4">
      <c r="A144">
        <v>682639.28</v>
      </c>
      <c r="B144">
        <v>654960.75683422061</v>
      </c>
      <c r="C144">
        <v>27678.523165779421</v>
      </c>
      <c r="D144">
        <f t="shared" si="2"/>
        <v>766100644.63858807</v>
      </c>
    </row>
    <row r="145" spans="1:4">
      <c r="A145">
        <v>695098.51</v>
      </c>
      <c r="B145">
        <v>668019.16265062732</v>
      </c>
      <c r="C145">
        <v>27079.347349372692</v>
      </c>
      <c r="D145">
        <f t="shared" si="2"/>
        <v>733291052.86797786</v>
      </c>
    </row>
    <row r="146" spans="1:4">
      <c r="A146">
        <v>577732.56999999995</v>
      </c>
      <c r="B146">
        <v>711006.95188265014</v>
      </c>
      <c r="C146">
        <v>-133274.3818826502</v>
      </c>
      <c r="D146">
        <f t="shared" si="2"/>
        <v>17762060866.20248</v>
      </c>
    </row>
    <row r="147" spans="1:4">
      <c r="A147">
        <v>537058.32999999996</v>
      </c>
      <c r="B147">
        <v>669525.84800190991</v>
      </c>
      <c r="C147">
        <v>-132467.51800190995</v>
      </c>
      <c r="D147">
        <f t="shared" si="2"/>
        <v>17547643325.586338</v>
      </c>
    </row>
    <row r="148" spans="1:4">
      <c r="A148">
        <v>601568.87</v>
      </c>
      <c r="B148">
        <v>674700.52774954867</v>
      </c>
      <c r="C148">
        <v>-73131.657749548671</v>
      </c>
      <c r="D148">
        <f t="shared" si="2"/>
        <v>5348239365.1971226</v>
      </c>
    </row>
    <row r="149" spans="1:4">
      <c r="A149">
        <v>570964.84</v>
      </c>
      <c r="B149">
        <v>689469.07387650642</v>
      </c>
      <c r="C149">
        <v>-118504.23387650645</v>
      </c>
      <c r="D149">
        <f t="shared" si="2"/>
        <v>14043253446.657738</v>
      </c>
    </row>
    <row r="150" spans="1:4">
      <c r="A150">
        <v>614024.91</v>
      </c>
      <c r="B150">
        <v>670937.74448640447</v>
      </c>
      <c r="C150">
        <v>-56912.834486404434</v>
      </c>
      <c r="D150">
        <f t="shared" si="2"/>
        <v>3239070729.276866</v>
      </c>
    </row>
    <row r="151" spans="1:4">
      <c r="A151">
        <v>712868.35</v>
      </c>
      <c r="B151">
        <v>653446.63498489535</v>
      </c>
      <c r="C151">
        <v>59421.715015104623</v>
      </c>
      <c r="D151">
        <f t="shared" si="2"/>
        <v>3530940215.3363104</v>
      </c>
    </row>
    <row r="152" spans="1:4">
      <c r="A152">
        <v>696744.15</v>
      </c>
      <c r="B152">
        <v>661441.63309844909</v>
      </c>
      <c r="C152">
        <v>35302.516901550931</v>
      </c>
      <c r="D152">
        <f t="shared" si="2"/>
        <v>1246267699.5842891</v>
      </c>
    </row>
    <row r="153" spans="1:4">
      <c r="A153">
        <v>725847.99</v>
      </c>
      <c r="B153">
        <v>713902.92761184194</v>
      </c>
      <c r="C153">
        <v>11945.062388158054</v>
      </c>
      <c r="D153">
        <f t="shared" si="2"/>
        <v>142684515.45698819</v>
      </c>
    </row>
    <row r="154" spans="1:4">
      <c r="A154">
        <v>785028.25</v>
      </c>
      <c r="B154">
        <v>721932.94718198944</v>
      </c>
      <c r="C154">
        <v>63095.302818010561</v>
      </c>
      <c r="D154">
        <f t="shared" si="2"/>
        <v>3981017237.6964517</v>
      </c>
    </row>
    <row r="155" spans="1:4">
      <c r="A155">
        <v>698492.67</v>
      </c>
      <c r="B155">
        <v>698054.62739302218</v>
      </c>
      <c r="C155">
        <v>438.04260697786231</v>
      </c>
      <c r="D155">
        <f t="shared" si="2"/>
        <v>191881.32552796195</v>
      </c>
    </row>
    <row r="156" spans="1:4">
      <c r="A156">
        <v>685830.24</v>
      </c>
      <c r="B156">
        <v>691823.83780370816</v>
      </c>
      <c r="C156">
        <v>-5993.5978037081659</v>
      </c>
      <c r="D156">
        <f t="shared" si="2"/>
        <v>35923214.63261535</v>
      </c>
    </row>
    <row r="157" spans="1:4">
      <c r="A157">
        <v>702318.94</v>
      </c>
      <c r="B157">
        <v>652129.2519413355</v>
      </c>
      <c r="C157">
        <v>50189.68805866444</v>
      </c>
      <c r="D157">
        <f t="shared" si="2"/>
        <v>2519004787.426044</v>
      </c>
    </row>
    <row r="158" spans="1:4">
      <c r="A158">
        <v>700078.32</v>
      </c>
      <c r="B158">
        <v>745742.62237364042</v>
      </c>
      <c r="C158">
        <v>-45664.302373640472</v>
      </c>
      <c r="D158">
        <f t="shared" si="2"/>
        <v>2085228511.2712669</v>
      </c>
    </row>
    <row r="159" spans="1:4">
      <c r="A159">
        <v>602002.31999999995</v>
      </c>
      <c r="B159">
        <v>650360.04337852588</v>
      </c>
      <c r="C159">
        <v>-48357.72337852593</v>
      </c>
      <c r="D159">
        <f t="shared" si="2"/>
        <v>2338469410.3540335</v>
      </c>
    </row>
    <row r="160" spans="1:4">
      <c r="A160">
        <v>724216.07</v>
      </c>
      <c r="B160">
        <v>682256.64535896375</v>
      </c>
      <c r="C160">
        <v>41959.424641036196</v>
      </c>
      <c r="D160">
        <f t="shared" si="2"/>
        <v>1760593316.2067955</v>
      </c>
    </row>
    <row r="161" spans="1:4">
      <c r="A161">
        <v>620973.03</v>
      </c>
      <c r="B161">
        <v>610934.9299338283</v>
      </c>
      <c r="C161">
        <v>10038.100066171726</v>
      </c>
      <c r="D161">
        <f t="shared" si="2"/>
        <v>100763452.93847682</v>
      </c>
    </row>
    <row r="162" spans="1:4">
      <c r="A162">
        <v>650480.06000000006</v>
      </c>
      <c r="B162">
        <v>649470.90516384155</v>
      </c>
      <c r="C162">
        <v>1009.154836158501</v>
      </c>
      <c r="D162">
        <f t="shared" si="2"/>
        <v>1018393.483342091</v>
      </c>
    </row>
    <row r="163" spans="1:4">
      <c r="A163">
        <v>778298.88</v>
      </c>
      <c r="B163">
        <v>664291.86694936734</v>
      </c>
      <c r="C163">
        <v>114007.01305063267</v>
      </c>
      <c r="D163">
        <f t="shared" si="2"/>
        <v>12997599024.727127</v>
      </c>
    </row>
    <row r="164" spans="1:4">
      <c r="A164">
        <v>677096.71</v>
      </c>
      <c r="B164">
        <v>682733.64056389628</v>
      </c>
      <c r="C164">
        <v>-5636.9305638963124</v>
      </c>
      <c r="D164">
        <f t="shared" si="2"/>
        <v>31774986.182188399</v>
      </c>
    </row>
    <row r="165" spans="1:4">
      <c r="A165">
        <v>692008.64</v>
      </c>
      <c r="B165">
        <v>703342.52835302474</v>
      </c>
      <c r="C165">
        <v>-11333.888353024726</v>
      </c>
      <c r="D165">
        <f t="shared" si="2"/>
        <v>128457025.19882953</v>
      </c>
    </row>
    <row r="166" spans="1:4">
      <c r="A166">
        <v>825797.91</v>
      </c>
      <c r="B166">
        <v>714528.86464366782</v>
      </c>
      <c r="C166">
        <v>111269.04535633221</v>
      </c>
      <c r="D166">
        <f t="shared" si="2"/>
        <v>12380800454.509514</v>
      </c>
    </row>
    <row r="167" spans="1:4">
      <c r="A167">
        <v>706285.52</v>
      </c>
      <c r="B167">
        <v>636462.09718765633</v>
      </c>
      <c r="C167">
        <v>69823.422812343691</v>
      </c>
      <c r="D167">
        <f t="shared" si="2"/>
        <v>4875310373.2313175</v>
      </c>
    </row>
    <row r="168" spans="1:4">
      <c r="A168">
        <v>665534.69999999995</v>
      </c>
      <c r="B168">
        <v>625865.74426166445</v>
      </c>
      <c r="C168">
        <v>39668.955738335499</v>
      </c>
      <c r="D168">
        <f t="shared" si="2"/>
        <v>1573626049.3700209</v>
      </c>
    </row>
    <row r="169" spans="1:4">
      <c r="A169">
        <v>820729.29</v>
      </c>
      <c r="B169">
        <v>727837.46306800959</v>
      </c>
      <c r="C169">
        <v>92891.82693199045</v>
      </c>
      <c r="D169">
        <f t="shared" si="2"/>
        <v>8628891510.762867</v>
      </c>
    </row>
    <row r="170" spans="1:4">
      <c r="A170">
        <v>739831.73</v>
      </c>
      <c r="B170">
        <v>693148.72090512293</v>
      </c>
      <c r="C170">
        <v>46683.009094877052</v>
      </c>
      <c r="D170">
        <f t="shared" si="2"/>
        <v>2179303338.1523738</v>
      </c>
    </row>
    <row r="171" spans="1:4">
      <c r="A171">
        <v>593637.14</v>
      </c>
      <c r="B171">
        <v>631231.50599177124</v>
      </c>
      <c r="C171">
        <v>-37594.365991771221</v>
      </c>
      <c r="D171">
        <f t="shared" si="2"/>
        <v>1413336354.3232446</v>
      </c>
    </row>
    <row r="172" spans="1:4">
      <c r="A172">
        <v>769702.76</v>
      </c>
      <c r="B172">
        <v>669347.4779819079</v>
      </c>
      <c r="C172">
        <v>100355.28201809211</v>
      </c>
      <c r="D172">
        <f t="shared" si="2"/>
        <v>10071182628.930801</v>
      </c>
    </row>
    <row r="173" spans="1:4">
      <c r="A173">
        <v>679731.57</v>
      </c>
      <c r="B173">
        <v>639223.15662187559</v>
      </c>
      <c r="C173">
        <v>40508.413378124358</v>
      </c>
      <c r="D173">
        <f t="shared" si="2"/>
        <v>1640931554.4130044</v>
      </c>
    </row>
    <row r="174" spans="1:4">
      <c r="A174">
        <v>780344.18</v>
      </c>
      <c r="B174">
        <v>699883.11607413169</v>
      </c>
      <c r="C174">
        <v>80461.063925868366</v>
      </c>
      <c r="D174">
        <f t="shared" si="2"/>
        <v>6473982808.0826759</v>
      </c>
    </row>
    <row r="175" spans="1:4">
      <c r="A175">
        <v>721364.11</v>
      </c>
      <c r="B175">
        <v>654137.4030252978</v>
      </c>
      <c r="C175">
        <v>67226.706974702189</v>
      </c>
      <c r="D175">
        <f t="shared" si="2"/>
        <v>4519430130.6624718</v>
      </c>
    </row>
    <row r="176" spans="1:4">
      <c r="A176">
        <v>758138.29</v>
      </c>
      <c r="B176">
        <v>705820.36526350165</v>
      </c>
      <c r="C176">
        <v>52317.924736498389</v>
      </c>
      <c r="D176">
        <f t="shared" si="2"/>
        <v>2737165248.7339101</v>
      </c>
    </row>
    <row r="177" spans="1:4">
      <c r="A177">
        <v>804264</v>
      </c>
      <c r="B177">
        <v>695235.09293145931</v>
      </c>
      <c r="C177">
        <v>109028.90706854069</v>
      </c>
      <c r="D177">
        <f t="shared" si="2"/>
        <v>11887302576.560482</v>
      </c>
    </row>
    <row r="178" spans="1:4">
      <c r="A178">
        <v>887537.75</v>
      </c>
      <c r="B178">
        <v>704663.44955947099</v>
      </c>
      <c r="C178">
        <v>182874.30044052901</v>
      </c>
      <c r="D178">
        <f t="shared" si="2"/>
        <v>33443009761.612869</v>
      </c>
    </row>
    <row r="179" spans="1:4">
      <c r="A179">
        <v>783582</v>
      </c>
      <c r="B179">
        <v>623932.38189021056</v>
      </c>
      <c r="C179">
        <v>159649.61810978944</v>
      </c>
      <c r="D179">
        <f t="shared" si="2"/>
        <v>25488000562.601608</v>
      </c>
    </row>
    <row r="180" spans="1:4">
      <c r="A180">
        <v>781955.52</v>
      </c>
      <c r="B180">
        <v>647546.48353932193</v>
      </c>
      <c r="C180">
        <v>134409.03646067809</v>
      </c>
      <c r="D180">
        <f t="shared" si="2"/>
        <v>18065789082.287891</v>
      </c>
    </row>
    <row r="181" spans="1:4">
      <c r="A181">
        <v>898031.04</v>
      </c>
      <c r="B181">
        <v>720314.98978592118</v>
      </c>
      <c r="C181">
        <v>177716.05021407886</v>
      </c>
      <c r="D181">
        <f t="shared" si="2"/>
        <v>31582994503.692997</v>
      </c>
    </row>
    <row r="182" spans="1:4">
      <c r="A182">
        <v>855341.28</v>
      </c>
      <c r="B182">
        <v>706775.79636244616</v>
      </c>
      <c r="C182">
        <v>148565.48363755387</v>
      </c>
      <c r="D182">
        <f t="shared" si="2"/>
        <v>22071702928.460289</v>
      </c>
    </row>
    <row r="183" spans="1:4">
      <c r="A183">
        <v>751393.88</v>
      </c>
      <c r="B183">
        <v>657449.4412860017</v>
      </c>
      <c r="C183">
        <v>93944.438713998301</v>
      </c>
      <c r="D183">
        <f t="shared" si="2"/>
        <v>8825557565.2881832</v>
      </c>
    </row>
    <row r="184" spans="1:4">
      <c r="A184">
        <v>761077.08</v>
      </c>
      <c r="B184">
        <v>695163.67288900446</v>
      </c>
      <c r="C184">
        <v>65913.407110995497</v>
      </c>
      <c r="D184">
        <f t="shared" si="2"/>
        <v>4344577236.9798317</v>
      </c>
    </row>
    <row r="185" spans="1:4">
      <c r="A185">
        <v>819660.59</v>
      </c>
      <c r="B185">
        <v>684440.39101778972</v>
      </c>
      <c r="C185">
        <v>135220.19898221025</v>
      </c>
      <c r="D185">
        <f t="shared" si="2"/>
        <v>18284502212.788532</v>
      </c>
    </row>
    <row r="186" spans="1:4">
      <c r="A186">
        <v>681855.56</v>
      </c>
      <c r="B186">
        <v>714086.25529720576</v>
      </c>
      <c r="C186">
        <v>-32230.695297205704</v>
      </c>
      <c r="D186">
        <f t="shared" si="2"/>
        <v>1038817719.3413179</v>
      </c>
    </row>
    <row r="187" spans="1:4">
      <c r="A187">
        <v>678311.17</v>
      </c>
      <c r="B187">
        <v>682743.34402857861</v>
      </c>
      <c r="C187">
        <v>-4432.1740285785636</v>
      </c>
      <c r="D187">
        <f t="shared" si="2"/>
        <v>19644166.619606335</v>
      </c>
    </row>
    <row r="188" spans="1:4">
      <c r="A188">
        <v>765906.95</v>
      </c>
      <c r="B188">
        <v>663429.33910944511</v>
      </c>
      <c r="C188">
        <v>102477.61089055485</v>
      </c>
      <c r="D188">
        <f t="shared" si="2"/>
        <v>10501660733.835966</v>
      </c>
    </row>
    <row r="189" spans="1:4">
      <c r="A189">
        <v>712546.38</v>
      </c>
      <c r="B189">
        <v>715872.66738255275</v>
      </c>
      <c r="C189">
        <v>-3326.2873825527495</v>
      </c>
      <c r="D189">
        <f t="shared" si="2"/>
        <v>11064187.751329621</v>
      </c>
    </row>
    <row r="190" spans="1:4">
      <c r="A190">
        <v>625993.82999999996</v>
      </c>
      <c r="B190">
        <v>713451.25039882085</v>
      </c>
      <c r="C190">
        <v>-87457.42039882089</v>
      </c>
      <c r="D190">
        <f t="shared" si="2"/>
        <v>7648800382.8160925</v>
      </c>
    </row>
    <row r="191" spans="1:4">
      <c r="A191">
        <v>550962.93000000005</v>
      </c>
      <c r="B191">
        <v>679863.51249171875</v>
      </c>
      <c r="C191">
        <v>-128900.5824917187</v>
      </c>
      <c r="D191">
        <f t="shared" si="2"/>
        <v>16615360166.704376</v>
      </c>
    </row>
    <row r="192" spans="1:4">
      <c r="A192">
        <v>443275.59</v>
      </c>
      <c r="B192">
        <v>641552.34831791662</v>
      </c>
      <c r="C192">
        <v>-198276.7583179166</v>
      </c>
      <c r="D192">
        <f t="shared" si="2"/>
        <v>39313672889.061508</v>
      </c>
    </row>
    <row r="193" spans="1:4">
      <c r="A193">
        <v>554012.06999999995</v>
      </c>
      <c r="B193">
        <v>678121.06260990002</v>
      </c>
      <c r="C193">
        <v>-124108.99260990007</v>
      </c>
      <c r="D193">
        <f t="shared" si="2"/>
        <v>15403042046.644232</v>
      </c>
    </row>
    <row r="194" spans="1:4">
      <c r="A194">
        <v>643428.85</v>
      </c>
      <c r="B194">
        <v>734965.90788686019</v>
      </c>
      <c r="C194">
        <v>-91537.057886860217</v>
      </c>
      <c r="D194">
        <f t="shared" si="2"/>
        <v>8379032966.5823984</v>
      </c>
    </row>
    <row r="195" spans="1:4">
      <c r="A195">
        <v>611924.27</v>
      </c>
      <c r="B195">
        <v>670000.76691963966</v>
      </c>
      <c r="C195">
        <v>-58076.496919639641</v>
      </c>
      <c r="D195">
        <f t="shared" ref="D195:D258" si="3">C195^2</f>
        <v>3372879494.456913</v>
      </c>
    </row>
    <row r="196" spans="1:4">
      <c r="A196">
        <v>559422.02</v>
      </c>
      <c r="B196">
        <v>646879.29618929396</v>
      </c>
      <c r="C196">
        <v>-87457.276189293945</v>
      </c>
      <c r="D196">
        <f t="shared" si="3"/>
        <v>7648775158.4504414</v>
      </c>
    </row>
    <row r="197" spans="1:4">
      <c r="A197">
        <v>449465.06</v>
      </c>
      <c r="B197">
        <v>649924.78578369005</v>
      </c>
      <c r="C197">
        <v>-200459.72578369005</v>
      </c>
      <c r="D197">
        <f t="shared" si="3"/>
        <v>40184101661.272209</v>
      </c>
    </row>
    <row r="198" spans="1:4">
      <c r="A198">
        <v>691447.43</v>
      </c>
      <c r="B198">
        <v>713895.21568794595</v>
      </c>
      <c r="C198">
        <v>-22447.7856879459</v>
      </c>
      <c r="D198">
        <f t="shared" si="3"/>
        <v>503903082.29194874</v>
      </c>
    </row>
    <row r="199" spans="1:4">
      <c r="A199">
        <v>574066.61</v>
      </c>
      <c r="B199">
        <v>676080.05110296316</v>
      </c>
      <c r="C199">
        <v>-102013.44110296317</v>
      </c>
      <c r="D199">
        <f t="shared" si="3"/>
        <v>10406742165.667736</v>
      </c>
    </row>
    <row r="200" spans="1:4">
      <c r="A200">
        <v>578949.84</v>
      </c>
      <c r="B200">
        <v>677089.59278880467</v>
      </c>
      <c r="C200">
        <v>-98139.752788804704</v>
      </c>
      <c r="D200">
        <f t="shared" si="3"/>
        <v>9631411077.4477005</v>
      </c>
    </row>
    <row r="201" spans="1:4">
      <c r="A201">
        <v>735786.64</v>
      </c>
      <c r="B201">
        <v>691734.76932002977</v>
      </c>
      <c r="C201">
        <v>44051.870679970249</v>
      </c>
      <c r="D201">
        <f t="shared" si="3"/>
        <v>1940567310.4048223</v>
      </c>
    </row>
    <row r="202" spans="1:4">
      <c r="A202">
        <v>598904.9</v>
      </c>
      <c r="B202">
        <v>608939.91454441426</v>
      </c>
      <c r="C202">
        <v>-10035.01454441424</v>
      </c>
      <c r="D202">
        <f t="shared" si="3"/>
        <v>100701516.90660533</v>
      </c>
    </row>
    <row r="203" spans="1:4">
      <c r="A203">
        <v>787715.51</v>
      </c>
      <c r="B203">
        <v>727159.13156421972</v>
      </c>
      <c r="C203">
        <v>60556.378435780294</v>
      </c>
      <c r="D203">
        <f t="shared" si="3"/>
        <v>3667074969.2574368</v>
      </c>
    </row>
    <row r="204" spans="1:4">
      <c r="A204">
        <v>607084.92000000004</v>
      </c>
      <c r="B204">
        <v>636250.08284032752</v>
      </c>
      <c r="C204">
        <v>-29165.162840327481</v>
      </c>
      <c r="D204">
        <f t="shared" si="3"/>
        <v>850606723.50281894</v>
      </c>
    </row>
    <row r="205" spans="1:4">
      <c r="A205">
        <v>650795.49</v>
      </c>
      <c r="B205">
        <v>697481.59331165906</v>
      </c>
      <c r="C205">
        <v>-46686.10331165907</v>
      </c>
      <c r="D205">
        <f t="shared" si="3"/>
        <v>2179592242.4269037</v>
      </c>
    </row>
    <row r="206" spans="1:4">
      <c r="A206">
        <v>825060.52</v>
      </c>
      <c r="B206">
        <v>756774.12696144753</v>
      </c>
      <c r="C206">
        <v>68286.393038552487</v>
      </c>
      <c r="D206">
        <f t="shared" si="3"/>
        <v>4663031474.2156696</v>
      </c>
    </row>
    <row r="207" spans="1:4">
      <c r="A207">
        <v>795464.47</v>
      </c>
      <c r="B207">
        <v>676711.49665185763</v>
      </c>
      <c r="C207">
        <v>118752.97334814235</v>
      </c>
      <c r="D207">
        <f t="shared" si="3"/>
        <v>14102268679.024607</v>
      </c>
    </row>
    <row r="208" spans="1:4">
      <c r="A208">
        <v>671868.59</v>
      </c>
      <c r="B208">
        <v>642140.21302215685</v>
      </c>
      <c r="C208">
        <v>29728.376977843116</v>
      </c>
      <c r="D208">
        <f t="shared" si="3"/>
        <v>883776397.73675263</v>
      </c>
    </row>
    <row r="209" spans="1:4">
      <c r="A209">
        <v>675917.63</v>
      </c>
      <c r="B209">
        <v>681188.14135388413</v>
      </c>
      <c r="C209">
        <v>-5270.5113538841251</v>
      </c>
      <c r="D209">
        <f t="shared" si="3"/>
        <v>27778289.931421474</v>
      </c>
    </row>
    <row r="210" spans="1:4">
      <c r="A210">
        <v>810446.53</v>
      </c>
      <c r="B210">
        <v>696110.62934630504</v>
      </c>
      <c r="C210">
        <v>114335.90065369499</v>
      </c>
      <c r="D210">
        <f t="shared" si="3"/>
        <v>13072698178.291611</v>
      </c>
    </row>
    <row r="211" spans="1:4">
      <c r="A211">
        <v>691288.19</v>
      </c>
      <c r="B211">
        <v>695035.43037432665</v>
      </c>
      <c r="C211">
        <v>-3747.2403743267059</v>
      </c>
      <c r="D211">
        <f t="shared" si="3"/>
        <v>14041810.422984151</v>
      </c>
    </row>
    <row r="212" spans="1:4">
      <c r="A212">
        <v>946833.54</v>
      </c>
      <c r="B212">
        <v>790418.56022114807</v>
      </c>
      <c r="C212">
        <v>156414.97977885196</v>
      </c>
      <c r="D212">
        <f t="shared" si="3"/>
        <v>24465645899.21867</v>
      </c>
    </row>
    <row r="213" spans="1:4">
      <c r="A213">
        <v>761963.23</v>
      </c>
      <c r="B213">
        <v>666340.39970076329</v>
      </c>
      <c r="C213">
        <v>95622.830299236695</v>
      </c>
      <c r="D213">
        <f t="shared" si="3"/>
        <v>9143725674.4366188</v>
      </c>
    </row>
    <row r="214" spans="1:4">
      <c r="A214">
        <v>812152.6</v>
      </c>
      <c r="B214">
        <v>669479.64001834602</v>
      </c>
      <c r="C214">
        <v>142672.95998165396</v>
      </c>
      <c r="D214">
        <f t="shared" si="3"/>
        <v>20355573509.926632</v>
      </c>
    </row>
    <row r="215" spans="1:4">
      <c r="A215">
        <v>804975.5</v>
      </c>
      <c r="B215">
        <v>650267.60622479394</v>
      </c>
      <c r="C215">
        <v>154707.89377520606</v>
      </c>
      <c r="D215">
        <f t="shared" si="3"/>
        <v>23934532396.360443</v>
      </c>
    </row>
    <row r="216" spans="1:4">
      <c r="A216">
        <v>752321.72</v>
      </c>
      <c r="B216">
        <v>636447.77504327788</v>
      </c>
      <c r="C216">
        <v>115873.94495672209</v>
      </c>
      <c r="D216">
        <f t="shared" si="3"/>
        <v>13426771119.83346</v>
      </c>
    </row>
    <row r="217" spans="1:4">
      <c r="A217">
        <v>836908.24</v>
      </c>
      <c r="B217">
        <v>662072.01931713801</v>
      </c>
      <c r="C217">
        <v>174836.22068286198</v>
      </c>
      <c r="D217">
        <f t="shared" si="3"/>
        <v>30567704062.666416</v>
      </c>
    </row>
    <row r="218" spans="1:4">
      <c r="A218">
        <v>674289.1</v>
      </c>
      <c r="B218">
        <v>708236.46440960187</v>
      </c>
      <c r="C218">
        <v>-33947.364409601898</v>
      </c>
      <c r="D218">
        <f t="shared" si="3"/>
        <v>1152423550.3583057</v>
      </c>
    </row>
    <row r="219" spans="1:4">
      <c r="A219">
        <v>622892.42000000004</v>
      </c>
      <c r="B219">
        <v>633674.00364659261</v>
      </c>
      <c r="C219">
        <v>-10781.583646592568</v>
      </c>
      <c r="D219">
        <f t="shared" si="3"/>
        <v>116242545.9284723</v>
      </c>
    </row>
    <row r="220" spans="1:4">
      <c r="A220">
        <v>673348.56</v>
      </c>
      <c r="B220">
        <v>686212.54451857065</v>
      </c>
      <c r="C220">
        <v>-12863.984518570593</v>
      </c>
      <c r="D220">
        <f t="shared" si="3"/>
        <v>165482097.69402388</v>
      </c>
    </row>
    <row r="221" spans="1:4">
      <c r="A221">
        <v>606278.30000000005</v>
      </c>
      <c r="B221">
        <v>596522.27638271032</v>
      </c>
      <c r="C221">
        <v>9756.0236172897276</v>
      </c>
      <c r="D221">
        <f t="shared" si="3"/>
        <v>95179996.821114942</v>
      </c>
    </row>
    <row r="222" spans="1:4">
      <c r="A222">
        <v>712219.81</v>
      </c>
      <c r="B222">
        <v>674734.489875937</v>
      </c>
      <c r="C222">
        <v>37485.320124063059</v>
      </c>
      <c r="D222">
        <f t="shared" si="3"/>
        <v>1405149224.8034868</v>
      </c>
    </row>
    <row r="223" spans="1:4">
      <c r="A223">
        <v>672670.54</v>
      </c>
      <c r="B223">
        <v>619282.60025939706</v>
      </c>
      <c r="C223">
        <v>53387.939740602975</v>
      </c>
      <c r="D223">
        <f t="shared" si="3"/>
        <v>2850272109.7462544</v>
      </c>
    </row>
    <row r="224" spans="1:4">
      <c r="A224">
        <v>732667.92</v>
      </c>
      <c r="B224">
        <v>703537.69935008616</v>
      </c>
      <c r="C224">
        <v>29130.220649913885</v>
      </c>
      <c r="D224">
        <f t="shared" si="3"/>
        <v>848569755.11266935</v>
      </c>
    </row>
    <row r="225" spans="1:4">
      <c r="A225">
        <v>723531.4</v>
      </c>
      <c r="B225">
        <v>717474.77719874692</v>
      </c>
      <c r="C225">
        <v>6056.6228012531064</v>
      </c>
      <c r="D225">
        <f t="shared" si="3"/>
        <v>36682679.756659023</v>
      </c>
    </row>
    <row r="226" spans="1:4">
      <c r="A226">
        <v>641564.6</v>
      </c>
      <c r="B226">
        <v>706185.07146665116</v>
      </c>
      <c r="C226">
        <v>-64620.471466651186</v>
      </c>
      <c r="D226">
        <f t="shared" si="3"/>
        <v>4175805332.5722799</v>
      </c>
    </row>
    <row r="227" spans="1:4">
      <c r="A227">
        <v>536545.49</v>
      </c>
      <c r="B227">
        <v>682908.81140667782</v>
      </c>
      <c r="C227">
        <v>-146363.32140667783</v>
      </c>
      <c r="D227">
        <f t="shared" si="3"/>
        <v>21422221853.194477</v>
      </c>
    </row>
    <row r="228" spans="1:4">
      <c r="A228">
        <v>527681.56000000006</v>
      </c>
      <c r="B228">
        <v>652624.76423826022</v>
      </c>
      <c r="C228">
        <v>-124943.20423826016</v>
      </c>
      <c r="D228">
        <f t="shared" si="3"/>
        <v>15610804285.323593</v>
      </c>
    </row>
    <row r="229" spans="1:4">
      <c r="A229">
        <v>529598.93999999994</v>
      </c>
      <c r="B229">
        <v>645017.56572633598</v>
      </c>
      <c r="C229">
        <v>-115418.62572633603</v>
      </c>
      <c r="D229">
        <f t="shared" si="3"/>
        <v>13321459164.556038</v>
      </c>
    </row>
    <row r="230" spans="1:4">
      <c r="A230">
        <v>570963.31000000006</v>
      </c>
      <c r="B230">
        <v>640743.76157205855</v>
      </c>
      <c r="C230">
        <v>-69780.45157205849</v>
      </c>
      <c r="D230">
        <f t="shared" si="3"/>
        <v>4869311421.6004</v>
      </c>
    </row>
    <row r="231" spans="1:4">
      <c r="A231">
        <v>870937.4</v>
      </c>
      <c r="B231">
        <v>802634.353605496</v>
      </c>
      <c r="C231">
        <v>68303.046394504025</v>
      </c>
      <c r="D231">
        <f t="shared" si="3"/>
        <v>4665306146.7697697</v>
      </c>
    </row>
    <row r="232" spans="1:4">
      <c r="A232">
        <v>596969.27</v>
      </c>
      <c r="B232">
        <v>631950.72764149343</v>
      </c>
      <c r="C232">
        <v>-34981.457641493413</v>
      </c>
      <c r="D232">
        <f t="shared" si="3"/>
        <v>1223702378.7235978</v>
      </c>
    </row>
    <row r="233" spans="1:4">
      <c r="A233">
        <v>647512.85</v>
      </c>
      <c r="B233">
        <v>616366.1370840309</v>
      </c>
      <c r="C233">
        <v>31146.712915969081</v>
      </c>
      <c r="D233">
        <f t="shared" si="3"/>
        <v>970117725.46979523</v>
      </c>
    </row>
    <row r="234" spans="1:4">
      <c r="A234">
        <v>658072.14</v>
      </c>
      <c r="B234">
        <v>661755.97874362906</v>
      </c>
      <c r="C234">
        <v>-3683.8387436290504</v>
      </c>
      <c r="D234">
        <f t="shared" si="3"/>
        <v>13570667.889062461</v>
      </c>
    </row>
    <row r="235" spans="1:4">
      <c r="A235">
        <v>723305.11</v>
      </c>
      <c r="B235">
        <v>692283.48117987462</v>
      </c>
      <c r="C235">
        <v>31021.628820125363</v>
      </c>
      <c r="D235">
        <f t="shared" si="3"/>
        <v>962341454.65363252</v>
      </c>
    </row>
    <row r="236" spans="1:4">
      <c r="A236">
        <v>640666.53</v>
      </c>
      <c r="B236">
        <v>694257.90319009381</v>
      </c>
      <c r="C236">
        <v>-53591.373190093786</v>
      </c>
      <c r="D236">
        <f t="shared" si="3"/>
        <v>2872035280.3999028</v>
      </c>
    </row>
    <row r="237" spans="1:4">
      <c r="A237">
        <v>670629.48</v>
      </c>
      <c r="B237">
        <v>663243.7444574415</v>
      </c>
      <c r="C237">
        <v>7385.7355425584828</v>
      </c>
      <c r="D237">
        <f t="shared" si="3"/>
        <v>54549089.504611649</v>
      </c>
    </row>
    <row r="238" spans="1:4">
      <c r="A238">
        <v>721079.35</v>
      </c>
      <c r="B238">
        <v>660174.35637360939</v>
      </c>
      <c r="C238">
        <v>60904.993626390584</v>
      </c>
      <c r="D238">
        <f t="shared" si="3"/>
        <v>3709418248.6306777</v>
      </c>
    </row>
    <row r="239" spans="1:4">
      <c r="A239">
        <v>810355.02</v>
      </c>
      <c r="B239">
        <v>716247.98807436146</v>
      </c>
      <c r="C239">
        <v>94107.031925638556</v>
      </c>
      <c r="D239">
        <f t="shared" si="3"/>
        <v>8856133457.8531551</v>
      </c>
    </row>
    <row r="240" spans="1:4">
      <c r="A240">
        <v>761919.25</v>
      </c>
      <c r="B240">
        <v>686794.58290668053</v>
      </c>
      <c r="C240">
        <v>75124.667093319469</v>
      </c>
      <c r="D240">
        <f t="shared" si="3"/>
        <v>5643715605.8820772</v>
      </c>
    </row>
    <row r="241" spans="1:4">
      <c r="A241">
        <v>737070.18</v>
      </c>
      <c r="B241">
        <v>617277.20343396906</v>
      </c>
      <c r="C241">
        <v>119792.97656603099</v>
      </c>
      <c r="D241">
        <f t="shared" si="3"/>
        <v>14350357234.54965</v>
      </c>
    </row>
    <row r="242" spans="1:4">
      <c r="A242">
        <v>776992.93</v>
      </c>
      <c r="B242">
        <v>709761.01006814931</v>
      </c>
      <c r="C242">
        <v>67231.919931850745</v>
      </c>
      <c r="D242">
        <f t="shared" si="3"/>
        <v>4520131057.7227898</v>
      </c>
    </row>
    <row r="243" spans="1:4">
      <c r="A243">
        <v>676337.41</v>
      </c>
      <c r="B243">
        <v>671374.01903823763</v>
      </c>
      <c r="C243">
        <v>4963.3909617624013</v>
      </c>
      <c r="D243">
        <f t="shared" si="3"/>
        <v>24635249.839304693</v>
      </c>
    </row>
    <row r="244" spans="1:4">
      <c r="A244">
        <v>828219.67</v>
      </c>
      <c r="B244">
        <v>711666.78748105199</v>
      </c>
      <c r="C244">
        <v>116552.88251894806</v>
      </c>
      <c r="D244">
        <f t="shared" si="3"/>
        <v>13584574423.475708</v>
      </c>
    </row>
    <row r="245" spans="1:4">
      <c r="A245">
        <v>763159.92</v>
      </c>
      <c r="B245">
        <v>675112.9038119457</v>
      </c>
      <c r="C245">
        <v>88047.016188054346</v>
      </c>
      <c r="D245">
        <f t="shared" si="3"/>
        <v>7752277059.619504</v>
      </c>
    </row>
    <row r="246" spans="1:4">
      <c r="A246">
        <v>802001.68</v>
      </c>
      <c r="B246">
        <v>724680.78617524414</v>
      </c>
      <c r="C246">
        <v>77320.893824755913</v>
      </c>
      <c r="D246">
        <f t="shared" si="3"/>
        <v>5978520621.8591766</v>
      </c>
    </row>
    <row r="247" spans="1:4">
      <c r="A247">
        <v>750471.34</v>
      </c>
      <c r="B247">
        <v>663490.86500778061</v>
      </c>
      <c r="C247">
        <v>86980.474992219359</v>
      </c>
      <c r="D247">
        <f t="shared" si="3"/>
        <v>7565603029.872097</v>
      </c>
    </row>
    <row r="248" spans="1:4">
      <c r="A248">
        <v>679230.86</v>
      </c>
      <c r="B248">
        <v>683256.39883370639</v>
      </c>
      <c r="C248">
        <v>-4025.5388337064069</v>
      </c>
      <c r="D248">
        <f t="shared" si="3"/>
        <v>16204962.901678339</v>
      </c>
    </row>
    <row r="249" spans="1:4">
      <c r="A249">
        <v>679888.74</v>
      </c>
      <c r="B249">
        <v>607294.24507016991</v>
      </c>
      <c r="C249">
        <v>72594.494929830078</v>
      </c>
      <c r="D249">
        <f t="shared" si="3"/>
        <v>5269960694.1171246</v>
      </c>
    </row>
    <row r="250" spans="1:4">
      <c r="A250">
        <v>606783.67000000004</v>
      </c>
      <c r="B250">
        <v>648369.75260182831</v>
      </c>
      <c r="C250">
        <v>-41586.082601828268</v>
      </c>
      <c r="D250">
        <f t="shared" si="3"/>
        <v>1729402266.1660838</v>
      </c>
    </row>
    <row r="251" spans="1:4">
      <c r="A251">
        <v>642751.42000000004</v>
      </c>
      <c r="B251">
        <v>716185.69945827802</v>
      </c>
      <c r="C251">
        <v>-73434.279458277975</v>
      </c>
      <c r="D251">
        <f t="shared" si="3"/>
        <v>5392593399.5564671</v>
      </c>
    </row>
    <row r="252" spans="1:4">
      <c r="A252">
        <v>647953.78</v>
      </c>
      <c r="B252">
        <v>642942.29548055318</v>
      </c>
      <c r="C252">
        <v>5011.4845194468508</v>
      </c>
      <c r="D252">
        <f t="shared" si="3"/>
        <v>25114977.088655431</v>
      </c>
    </row>
    <row r="253" spans="1:4">
      <c r="A253">
        <v>729440.45</v>
      </c>
      <c r="B253">
        <v>768195.40150506631</v>
      </c>
      <c r="C253">
        <v>-38754.951505066361</v>
      </c>
      <c r="D253">
        <f t="shared" si="3"/>
        <v>1501946266.1600454</v>
      </c>
    </row>
    <row r="254" spans="1:4">
      <c r="A254">
        <v>764949</v>
      </c>
      <c r="B254">
        <v>734976.62830853974</v>
      </c>
      <c r="C254">
        <v>29972.371691460256</v>
      </c>
      <c r="D254">
        <f t="shared" si="3"/>
        <v>898343064.81104815</v>
      </c>
    </row>
    <row r="255" spans="1:4">
      <c r="A255">
        <v>799046.94</v>
      </c>
      <c r="B255">
        <v>696375.29240484722</v>
      </c>
      <c r="C255">
        <v>102671.64759515272</v>
      </c>
      <c r="D255">
        <f t="shared" si="3"/>
        <v>10541467219.903231</v>
      </c>
    </row>
    <row r="256" spans="1:4">
      <c r="A256">
        <v>720079.54</v>
      </c>
      <c r="B256">
        <v>721440.37982303614</v>
      </c>
      <c r="C256">
        <v>-1360.8398230361054</v>
      </c>
      <c r="D256">
        <f t="shared" si="3"/>
        <v>1851885.0239609387</v>
      </c>
    </row>
    <row r="257" spans="1:4">
      <c r="A257">
        <v>612390.14</v>
      </c>
      <c r="B257">
        <v>638552.74890802288</v>
      </c>
      <c r="C257">
        <v>-26162.60890802287</v>
      </c>
      <c r="D257">
        <f t="shared" si="3"/>
        <v>684482104.87415767</v>
      </c>
    </row>
    <row r="258" spans="1:4">
      <c r="A258">
        <v>840108.12</v>
      </c>
      <c r="B258">
        <v>699956.82426983037</v>
      </c>
      <c r="C258">
        <v>140151.29573016963</v>
      </c>
      <c r="D258">
        <f t="shared" si="3"/>
        <v>19642385694.845463</v>
      </c>
    </row>
    <row r="259" spans="1:4">
      <c r="A259">
        <v>697888.09</v>
      </c>
      <c r="B259">
        <v>622409.29810734675</v>
      </c>
      <c r="C259">
        <v>75478.791892653215</v>
      </c>
      <c r="D259">
        <f t="shared" ref="D259:D321" si="4">C259^2</f>
        <v>5697048025.5744524</v>
      </c>
    </row>
    <row r="260" spans="1:4">
      <c r="A260">
        <v>746115.59</v>
      </c>
      <c r="B260">
        <v>655288.5983462187</v>
      </c>
      <c r="C260">
        <v>90826.991653781268</v>
      </c>
      <c r="D260">
        <f t="shared" si="4"/>
        <v>8249542412.8760519</v>
      </c>
    </row>
    <row r="261" spans="1:4">
      <c r="A261">
        <v>776110.32</v>
      </c>
      <c r="B261">
        <v>643018.33420270402</v>
      </c>
      <c r="C261">
        <v>133091.98579729593</v>
      </c>
      <c r="D261">
        <f t="shared" si="4"/>
        <v>17713476683.467621</v>
      </c>
    </row>
    <row r="262" spans="1:4">
      <c r="A262">
        <v>528852.62</v>
      </c>
      <c r="B262">
        <v>592428.00751166104</v>
      </c>
      <c r="C262">
        <v>-63575.387511661043</v>
      </c>
      <c r="D262">
        <f t="shared" si="4"/>
        <v>4041829897.2578669</v>
      </c>
    </row>
    <row r="263" spans="1:4">
      <c r="A263">
        <v>605751.32999999996</v>
      </c>
      <c r="B263">
        <v>653379.38870345021</v>
      </c>
      <c r="C263">
        <v>-47628.058703450253</v>
      </c>
      <c r="D263">
        <f t="shared" si="4"/>
        <v>2268431975.8593035</v>
      </c>
    </row>
    <row r="264" spans="1:4">
      <c r="A264">
        <v>677640.65</v>
      </c>
      <c r="B264">
        <v>670672.63650917599</v>
      </c>
      <c r="C264">
        <v>6968.0134908240288</v>
      </c>
      <c r="D264">
        <f t="shared" si="4"/>
        <v>48553212.008305669</v>
      </c>
    </row>
    <row r="265" spans="1:4">
      <c r="A265">
        <v>636613.23</v>
      </c>
      <c r="B265">
        <v>686006.88615247491</v>
      </c>
      <c r="C265">
        <v>-49393.656152474927</v>
      </c>
      <c r="D265">
        <f t="shared" si="4"/>
        <v>2439733268.1089244</v>
      </c>
    </row>
    <row r="266" spans="1:4">
      <c r="A266">
        <v>708985.19</v>
      </c>
      <c r="B266">
        <v>686629.03078216501</v>
      </c>
      <c r="C266">
        <v>22356.159217834938</v>
      </c>
      <c r="D266">
        <f t="shared" si="4"/>
        <v>499797854.97318608</v>
      </c>
    </row>
    <row r="267" spans="1:4">
      <c r="A267">
        <v>767792.94</v>
      </c>
      <c r="B267">
        <v>717291.61900621594</v>
      </c>
      <c r="C267">
        <v>50501.320993784</v>
      </c>
      <c r="D267">
        <f t="shared" si="4"/>
        <v>2550383422.1172085</v>
      </c>
    </row>
    <row r="268" spans="1:4">
      <c r="A268">
        <v>745580.51</v>
      </c>
      <c r="B268">
        <v>681587.6359609823</v>
      </c>
      <c r="C268">
        <v>63992.874039017712</v>
      </c>
      <c r="D268">
        <f t="shared" si="4"/>
        <v>4095087927.7735872</v>
      </c>
    </row>
    <row r="269" spans="1:4">
      <c r="A269">
        <v>762328.31</v>
      </c>
      <c r="B269">
        <v>705146.92786526121</v>
      </c>
      <c r="C269">
        <v>57181.382134738844</v>
      </c>
      <c r="D269">
        <f t="shared" si="4"/>
        <v>3269710462.8390307</v>
      </c>
    </row>
    <row r="270" spans="1:4">
      <c r="A270">
        <v>660633.99</v>
      </c>
      <c r="B270">
        <v>664957.27462465013</v>
      </c>
      <c r="C270">
        <v>-4323.2846246501431</v>
      </c>
      <c r="D270">
        <f t="shared" si="4"/>
        <v>18690789.94573633</v>
      </c>
    </row>
    <row r="271" spans="1:4">
      <c r="A271">
        <v>739374.56</v>
      </c>
      <c r="B271">
        <v>612334.09326925268</v>
      </c>
      <c r="C271">
        <v>127040.46673074737</v>
      </c>
      <c r="D271">
        <f t="shared" si="4"/>
        <v>16139280187.16613</v>
      </c>
    </row>
    <row r="272" spans="1:4">
      <c r="A272">
        <v>799756.46</v>
      </c>
      <c r="B272">
        <v>693013.38087806827</v>
      </c>
      <c r="C272">
        <v>106743.07912193169</v>
      </c>
      <c r="D272">
        <f t="shared" si="4"/>
        <v>11394084940.430969</v>
      </c>
    </row>
    <row r="273" spans="1:4">
      <c r="A273">
        <v>593343</v>
      </c>
      <c r="B273">
        <v>623838.33455456619</v>
      </c>
      <c r="C273">
        <v>-30495.334554566187</v>
      </c>
      <c r="D273">
        <f t="shared" si="4"/>
        <v>929965429.59491849</v>
      </c>
    </row>
    <row r="274" spans="1:4">
      <c r="A274">
        <v>645039.97</v>
      </c>
      <c r="B274">
        <v>668726.9011609219</v>
      </c>
      <c r="C274">
        <v>-23686.931160921929</v>
      </c>
      <c r="D274">
        <f t="shared" si="4"/>
        <v>561070707.8222543</v>
      </c>
    </row>
    <row r="275" spans="1:4">
      <c r="A275">
        <v>561597.32999999996</v>
      </c>
      <c r="B275">
        <v>598875.51487441629</v>
      </c>
      <c r="C275">
        <v>-37278.184874416329</v>
      </c>
      <c r="D275">
        <f t="shared" si="4"/>
        <v>1389663067.5311623</v>
      </c>
    </row>
    <row r="276" spans="1:4">
      <c r="A276">
        <v>635837.74</v>
      </c>
      <c r="B276">
        <v>662617.82861221978</v>
      </c>
      <c r="C276">
        <v>-26780.088612219784</v>
      </c>
      <c r="D276">
        <f t="shared" si="4"/>
        <v>717173146.07834375</v>
      </c>
    </row>
    <row r="277" spans="1:4">
      <c r="A277">
        <v>686737.87</v>
      </c>
      <c r="B277">
        <v>642805.95968310535</v>
      </c>
      <c r="C277">
        <v>43931.910316894646</v>
      </c>
      <c r="D277">
        <f t="shared" si="4"/>
        <v>1930012744.0916743</v>
      </c>
    </row>
    <row r="278" spans="1:4">
      <c r="A278">
        <v>673076.34</v>
      </c>
      <c r="B278">
        <v>692565.94098586915</v>
      </c>
      <c r="C278">
        <v>-19489.600985869183</v>
      </c>
      <c r="D278">
        <f t="shared" si="4"/>
        <v>379844546.58839303</v>
      </c>
    </row>
    <row r="279" spans="1:4">
      <c r="A279">
        <v>738548.42</v>
      </c>
      <c r="B279">
        <v>639701.59251588758</v>
      </c>
      <c r="C279">
        <v>98846.827484112466</v>
      </c>
      <c r="D279">
        <f t="shared" si="4"/>
        <v>9770695303.6738911</v>
      </c>
    </row>
    <row r="280" spans="1:4">
      <c r="A280">
        <v>756619.77</v>
      </c>
      <c r="B280">
        <v>664653.22566906747</v>
      </c>
      <c r="C280">
        <v>91966.544330932549</v>
      </c>
      <c r="D280">
        <f t="shared" si="4"/>
        <v>8457845276.1733818</v>
      </c>
    </row>
    <row r="281" spans="1:4">
      <c r="A281">
        <v>761122.42</v>
      </c>
      <c r="B281">
        <v>710574.44854634861</v>
      </c>
      <c r="C281">
        <v>50547.971453651437</v>
      </c>
      <c r="D281">
        <f t="shared" si="4"/>
        <v>2555097418.0791607</v>
      </c>
    </row>
    <row r="282" spans="1:4">
      <c r="A282">
        <v>524899.56999999995</v>
      </c>
      <c r="B282">
        <v>658998.47865890025</v>
      </c>
      <c r="C282">
        <v>-134098.9086589003</v>
      </c>
      <c r="D282">
        <f t="shared" si="4"/>
        <v>17982517303.508087</v>
      </c>
    </row>
    <row r="283" spans="1:4">
      <c r="A283">
        <v>555557.77</v>
      </c>
      <c r="B283">
        <v>635334.88510258787</v>
      </c>
      <c r="C283">
        <v>-79777.11510258785</v>
      </c>
      <c r="D283">
        <f t="shared" si="4"/>
        <v>6364388094.0915508</v>
      </c>
    </row>
    <row r="284" spans="1:4">
      <c r="A284">
        <v>714083.68</v>
      </c>
      <c r="B284">
        <v>701718.72345422208</v>
      </c>
      <c r="C284">
        <v>12364.956545777968</v>
      </c>
      <c r="D284">
        <f t="shared" si="4"/>
        <v>152892150.37897742</v>
      </c>
    </row>
    <row r="285" spans="1:4">
      <c r="A285">
        <v>497439.82</v>
      </c>
      <c r="B285">
        <v>601071.8030028753</v>
      </c>
      <c r="C285">
        <v>-103631.98300287529</v>
      </c>
      <c r="D285">
        <f t="shared" si="4"/>
        <v>10739587901.108232</v>
      </c>
    </row>
    <row r="286" spans="1:4">
      <c r="A286">
        <v>636775.66</v>
      </c>
      <c r="B286">
        <v>689173.85973483766</v>
      </c>
      <c r="C286">
        <v>-52398.199734837632</v>
      </c>
      <c r="D286">
        <f t="shared" si="4"/>
        <v>2745571335.4519386</v>
      </c>
    </row>
    <row r="287" spans="1:4">
      <c r="A287">
        <v>633009.53</v>
      </c>
      <c r="B287">
        <v>719589.51808798651</v>
      </c>
      <c r="C287">
        <v>-86579.98808798648</v>
      </c>
      <c r="D287">
        <f t="shared" si="4"/>
        <v>7496094337.3158808</v>
      </c>
    </row>
    <row r="288" spans="1:4">
      <c r="A288">
        <v>609949</v>
      </c>
      <c r="B288">
        <v>678980.79381807963</v>
      </c>
      <c r="C288">
        <v>-69031.793818079634</v>
      </c>
      <c r="D288">
        <f t="shared" si="4"/>
        <v>4765388557.7418575</v>
      </c>
    </row>
    <row r="289" spans="1:4">
      <c r="A289">
        <v>548103.69999999995</v>
      </c>
      <c r="B289">
        <v>648380.38827709155</v>
      </c>
      <c r="C289">
        <v>-100276.6882770916</v>
      </c>
      <c r="D289">
        <f t="shared" si="4"/>
        <v>10055414211.820999</v>
      </c>
    </row>
    <row r="290" spans="1:4">
      <c r="A290">
        <v>729424.42</v>
      </c>
      <c r="B290">
        <v>709998.91444570047</v>
      </c>
      <c r="C290">
        <v>19425.505554299569</v>
      </c>
      <c r="D290">
        <f t="shared" si="4"/>
        <v>377350266.0401234</v>
      </c>
    </row>
    <row r="291" spans="1:4">
      <c r="A291">
        <v>696261.49</v>
      </c>
      <c r="B291">
        <v>707661.71421330585</v>
      </c>
      <c r="C291">
        <v>-11400.224213305861</v>
      </c>
      <c r="D291">
        <f t="shared" si="4"/>
        <v>129965112.11364523</v>
      </c>
    </row>
    <row r="292" spans="1:4">
      <c r="A292">
        <v>813316.71</v>
      </c>
      <c r="B292">
        <v>681873.46443703026</v>
      </c>
      <c r="C292">
        <v>131443.24556296971</v>
      </c>
      <c r="D292">
        <f t="shared" si="4"/>
        <v>17277326804.127155</v>
      </c>
    </row>
    <row r="293" spans="1:4">
      <c r="A293">
        <v>702068.92</v>
      </c>
      <c r="B293">
        <v>676245.47610785405</v>
      </c>
      <c r="C293">
        <v>25823.443892145995</v>
      </c>
      <c r="D293">
        <f t="shared" si="4"/>
        <v>666850254.45081234</v>
      </c>
    </row>
    <row r="294" spans="1:4">
      <c r="A294">
        <v>546223.69999999995</v>
      </c>
      <c r="B294">
        <v>671828.93780168751</v>
      </c>
      <c r="C294">
        <v>-125605.23780168756</v>
      </c>
      <c r="D294">
        <f t="shared" si="4"/>
        <v>15776675763.218481</v>
      </c>
    </row>
    <row r="295" spans="1:4">
      <c r="A295">
        <v>533121.26</v>
      </c>
      <c r="B295">
        <v>646630.77732308372</v>
      </c>
      <c r="C295">
        <v>-113509.51732308371</v>
      </c>
      <c r="D295">
        <f t="shared" si="4"/>
        <v>12884410522.919441</v>
      </c>
    </row>
    <row r="296" spans="1:4">
      <c r="A296">
        <v>498970.32</v>
      </c>
      <c r="B296">
        <v>688416.33270488458</v>
      </c>
      <c r="C296">
        <v>-189446.01270488458</v>
      </c>
      <c r="D296">
        <f t="shared" si="4"/>
        <v>35889791729.779289</v>
      </c>
    </row>
    <row r="297" spans="1:4">
      <c r="A297">
        <v>487738.26</v>
      </c>
      <c r="B297">
        <v>619714.04426549305</v>
      </c>
      <c r="C297">
        <v>-131975.78426549304</v>
      </c>
      <c r="D297">
        <f t="shared" si="4"/>
        <v>17417607632.491962</v>
      </c>
    </row>
    <row r="298" spans="1:4">
      <c r="A298">
        <v>668459.37</v>
      </c>
      <c r="B298">
        <v>679462.9797410192</v>
      </c>
      <c r="C298">
        <v>-11003.609741019201</v>
      </c>
      <c r="D298">
        <f t="shared" si="4"/>
        <v>121079427.33265266</v>
      </c>
    </row>
    <row r="299" spans="1:4">
      <c r="A299">
        <v>763162.45</v>
      </c>
      <c r="B299">
        <v>679204.6091038977</v>
      </c>
      <c r="C299">
        <v>83957.840896102251</v>
      </c>
      <c r="D299">
        <f t="shared" si="4"/>
        <v>7048919047.9352198</v>
      </c>
    </row>
    <row r="300" spans="1:4">
      <c r="A300">
        <v>599017.32999999996</v>
      </c>
      <c r="B300">
        <v>659494.90197980171</v>
      </c>
      <c r="C300">
        <v>-60477.571979801753</v>
      </c>
      <c r="D300">
        <f t="shared" si="4"/>
        <v>3657536712.5721021</v>
      </c>
    </row>
    <row r="301" spans="1:4">
      <c r="A301">
        <v>401582.58</v>
      </c>
      <c r="B301">
        <v>613283.27431998472</v>
      </c>
      <c r="C301">
        <v>-211700.6943199847</v>
      </c>
      <c r="D301">
        <f t="shared" si="4"/>
        <v>44817183975.563606</v>
      </c>
    </row>
    <row r="302" spans="1:4">
      <c r="A302">
        <v>703812.99</v>
      </c>
      <c r="B302">
        <v>647785.00232839235</v>
      </c>
      <c r="C302">
        <v>56027.98767160764</v>
      </c>
      <c r="D302">
        <f t="shared" si="4"/>
        <v>3139135402.5298176</v>
      </c>
    </row>
    <row r="303" spans="1:4">
      <c r="A303">
        <v>724346.73</v>
      </c>
      <c r="B303">
        <v>697233.07444544882</v>
      </c>
      <c r="C303">
        <v>27113.655554551166</v>
      </c>
      <c r="D303">
        <f t="shared" si="4"/>
        <v>735150317.53084326</v>
      </c>
    </row>
    <row r="304" spans="1:4">
      <c r="A304">
        <v>730890.01</v>
      </c>
      <c r="B304">
        <v>673624.35419378127</v>
      </c>
      <c r="C304">
        <v>57265.65580621874</v>
      </c>
      <c r="D304">
        <f t="shared" si="4"/>
        <v>3279355334.9163141</v>
      </c>
    </row>
    <row r="305" spans="1:4">
      <c r="A305">
        <v>780580.95</v>
      </c>
      <c r="B305">
        <v>629457.69993586978</v>
      </c>
      <c r="C305">
        <v>151123.25006413017</v>
      </c>
      <c r="D305">
        <f t="shared" si="4"/>
        <v>22838236709.945621</v>
      </c>
    </row>
    <row r="306" spans="1:4">
      <c r="A306">
        <v>727957.48</v>
      </c>
      <c r="B306">
        <v>678082.58773683617</v>
      </c>
      <c r="C306">
        <v>49874.892263163812</v>
      </c>
      <c r="D306">
        <f t="shared" si="4"/>
        <v>2487504878.2621975</v>
      </c>
    </row>
    <row r="307" spans="1:4">
      <c r="A307">
        <v>538376</v>
      </c>
      <c r="B307">
        <v>659434.60490450461</v>
      </c>
      <c r="C307">
        <v>-121058.60490450461</v>
      </c>
      <c r="D307">
        <f t="shared" si="4"/>
        <v>14655185821.424948</v>
      </c>
    </row>
    <row r="308" spans="1:4">
      <c r="A308">
        <v>665342.49</v>
      </c>
      <c r="B308">
        <v>609097.39457276382</v>
      </c>
      <c r="C308">
        <v>56245.095427236171</v>
      </c>
      <c r="D308">
        <f t="shared" si="4"/>
        <v>3163510759.6189032</v>
      </c>
    </row>
    <row r="309" spans="1:4">
      <c r="A309">
        <v>651164.18000000005</v>
      </c>
      <c r="B309">
        <v>690235.28741414449</v>
      </c>
      <c r="C309">
        <v>-39071.107414144441</v>
      </c>
      <c r="D309">
        <f t="shared" si="4"/>
        <v>1526551434.5676126</v>
      </c>
    </row>
    <row r="310" spans="1:4">
      <c r="A310">
        <v>628538.30000000005</v>
      </c>
      <c r="B310">
        <v>664348.54111536162</v>
      </c>
      <c r="C310">
        <v>-35810.241115361569</v>
      </c>
      <c r="D310">
        <f t="shared" si="4"/>
        <v>1282373368.7403321</v>
      </c>
    </row>
    <row r="311" spans="1:4">
      <c r="A311">
        <v>536524.84</v>
      </c>
      <c r="B311">
        <v>611883.68725247821</v>
      </c>
      <c r="C311">
        <v>-75358.847252478241</v>
      </c>
      <c r="D311">
        <f t="shared" si="4"/>
        <v>5678955859.2223473</v>
      </c>
    </row>
    <row r="312" spans="1:4">
      <c r="A312">
        <v>621677.30000000005</v>
      </c>
      <c r="B312">
        <v>676758.25548712839</v>
      </c>
      <c r="C312">
        <v>-55080.955487128347</v>
      </c>
      <c r="D312">
        <f t="shared" si="4"/>
        <v>3033911657.3750143</v>
      </c>
    </row>
    <row r="313" spans="1:4">
      <c r="A313">
        <v>771129.07</v>
      </c>
      <c r="B313">
        <v>743927.5024397244</v>
      </c>
      <c r="C313">
        <v>27201.567560275551</v>
      </c>
      <c r="D313">
        <f t="shared" si="4"/>
        <v>739925277.73623514</v>
      </c>
    </row>
    <row r="314" spans="1:4">
      <c r="A314">
        <v>702052.47</v>
      </c>
      <c r="B314">
        <v>728971.75147885073</v>
      </c>
      <c r="C314">
        <v>-26919.281478850753</v>
      </c>
      <c r="D314">
        <f t="shared" si="4"/>
        <v>724647715.33759713</v>
      </c>
    </row>
    <row r="315" spans="1:4">
      <c r="A315">
        <v>688368.46</v>
      </c>
      <c r="B315">
        <v>660751.88201504387</v>
      </c>
      <c r="C315">
        <v>27616.577984956093</v>
      </c>
      <c r="D315">
        <f t="shared" si="4"/>
        <v>762675379.59916151</v>
      </c>
    </row>
    <row r="316" spans="1:4">
      <c r="A316">
        <v>712375.77</v>
      </c>
      <c r="B316">
        <v>694097.83839604282</v>
      </c>
      <c r="C316">
        <v>18277.9316039572</v>
      </c>
      <c r="D316">
        <f t="shared" si="4"/>
        <v>334082783.71893746</v>
      </c>
    </row>
    <row r="317" spans="1:4">
      <c r="A317">
        <v>844710.67</v>
      </c>
      <c r="B317">
        <v>702464.68259833101</v>
      </c>
      <c r="C317">
        <v>142245.98740166903</v>
      </c>
      <c r="D317">
        <f t="shared" si="4"/>
        <v>20233920931.875786</v>
      </c>
    </row>
    <row r="318" spans="1:4">
      <c r="A318">
        <v>620264.19999999995</v>
      </c>
      <c r="B318">
        <v>723986.11979968555</v>
      </c>
      <c r="C318">
        <v>-103721.91979968559</v>
      </c>
      <c r="D318">
        <f t="shared" si="4"/>
        <v>10758236646.932411</v>
      </c>
    </row>
    <row r="319" spans="1:4">
      <c r="A319">
        <v>536845.42000000004</v>
      </c>
      <c r="B319">
        <v>612700.81219979259</v>
      </c>
      <c r="C319">
        <v>-75855.39219979255</v>
      </c>
      <c r="D319">
        <f t="shared" si="4"/>
        <v>5754040525.7843485</v>
      </c>
    </row>
    <row r="320" spans="1:4">
      <c r="A320">
        <v>726776.22</v>
      </c>
      <c r="B320">
        <v>735190.14690476039</v>
      </c>
      <c r="C320">
        <v>-8413.9269047604175</v>
      </c>
      <c r="D320">
        <f t="shared" si="4"/>
        <v>70794165.958651215</v>
      </c>
    </row>
    <row r="321" spans="1:4">
      <c r="A321">
        <v>559660.84</v>
      </c>
      <c r="B321">
        <v>647584.66179992817</v>
      </c>
      <c r="C321">
        <v>-87923.821799928206</v>
      </c>
      <c r="D321">
        <f t="shared" si="4"/>
        <v>7730598439.90553</v>
      </c>
    </row>
    <row r="322" spans="1:4">
      <c r="C322">
        <f>AVERAGE(C2:C321)</f>
        <v>-274.76192126560562</v>
      </c>
      <c r="D322">
        <f>SUM(D2:D321)</f>
        <v>2860694152923.0605</v>
      </c>
    </row>
    <row r="323" spans="1:4">
      <c r="D323">
        <f>SQRT(AVERAGE(D2:D321))</f>
        <v>94549.824049992618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Cleaned_data</vt:lpstr>
      <vt:lpstr>Dummy_variables</vt:lpstr>
      <vt:lpstr>Single_regression</vt:lpstr>
      <vt:lpstr>Multiple_regression</vt:lpstr>
      <vt:lpstr>Model_Comparision</vt:lpstr>
      <vt:lpstr>Predictions_Reciduals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2026-06-28T12:05:40Z</dcterms:created>
  <dcterms:modified xsi:type="dcterms:W3CDTF">2026-06-28T14:14:01Z</dcterms:modified>
</cp:coreProperties>
</file>