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10" windowWidth="20775" windowHeight="7365" firstSheet="1" activeTab="6"/>
  </bookViews>
  <sheets>
    <sheet name="original data" sheetId="1" r:id="rId1"/>
    <sheet name="Cleaned_data" sheetId="2" r:id="rId2"/>
    <sheet name="Dummy_variables" sheetId="3" r:id="rId3"/>
    <sheet name="Simple_regression_1" sheetId="9" r:id="rId4"/>
    <sheet name="Simple_Regression_2" sheetId="12" r:id="rId5"/>
    <sheet name="Multiple_regression" sheetId="7" r:id="rId6"/>
    <sheet name="Predictions_Reciduals" sheetId="11" r:id="rId7"/>
    <sheet name="Model_Comparision" sheetId="10" r:id="rId8"/>
  </sheets>
  <definedNames>
    <definedName name="_xlnm._FilterDatabase" localSheetId="6" hidden="1">Predictions_Reciduals!$A$1:$AD$1</definedName>
  </definedNames>
  <calcPr calcId="124519"/>
  <extLst>
    <ext uri="GoogleSheetsCustomDataVersion2">
      <go:sheetsCustomData xmlns:go="http://customooxmlschemas.google.com/" r:id="" roundtripDataChecksum="pNwtXph2dFCHcEf7YGltGWQ2bKZjC4TSm4IGROh4zhI="/>
    </ext>
  </extLst>
</workbook>
</file>

<file path=xl/calcChain.xml><?xml version="1.0" encoding="utf-8"?>
<calcChain xmlns="http://schemas.openxmlformats.org/spreadsheetml/2006/main">
  <c r="R149" i="11"/>
  <c r="Q149"/>
  <c r="P149"/>
  <c r="O149"/>
  <c r="N149"/>
  <c r="M149"/>
  <c r="R159"/>
  <c r="Q159"/>
  <c r="P159"/>
  <c r="O159"/>
  <c r="N159"/>
  <c r="M159"/>
  <c r="R113"/>
  <c r="Q113"/>
  <c r="P113"/>
  <c r="O113"/>
  <c r="N113"/>
  <c r="M113"/>
  <c r="R303"/>
  <c r="Q303"/>
  <c r="P303"/>
  <c r="O303"/>
  <c r="N303"/>
  <c r="M303"/>
  <c r="R37"/>
  <c r="Q37"/>
  <c r="P37"/>
  <c r="O37"/>
  <c r="N37"/>
  <c r="M37"/>
  <c r="R83"/>
  <c r="Q83"/>
  <c r="P83"/>
  <c r="O83"/>
  <c r="N83"/>
  <c r="M83"/>
  <c r="R218"/>
  <c r="Q218"/>
  <c r="P218"/>
  <c r="O218"/>
  <c r="N218"/>
  <c r="M218"/>
  <c r="R80"/>
  <c r="Q80"/>
  <c r="P80"/>
  <c r="O80"/>
  <c r="N80"/>
  <c r="M80"/>
  <c r="R171"/>
  <c r="Q171"/>
  <c r="P171"/>
  <c r="O171"/>
  <c r="N171"/>
  <c r="M171"/>
  <c r="R130"/>
  <c r="Q130"/>
  <c r="P130"/>
  <c r="O130"/>
  <c r="N130"/>
  <c r="M130"/>
  <c r="R300"/>
  <c r="Q300"/>
  <c r="P300"/>
  <c r="O300"/>
  <c r="N300"/>
  <c r="M300"/>
  <c r="R210"/>
  <c r="Q210"/>
  <c r="P210"/>
  <c r="O210"/>
  <c r="N210"/>
  <c r="M210"/>
  <c r="R282"/>
  <c r="Q282"/>
  <c r="P282"/>
  <c r="O282"/>
  <c r="N282"/>
  <c r="M282"/>
  <c r="R57"/>
  <c r="Q57"/>
  <c r="P57"/>
  <c r="O57"/>
  <c r="N57"/>
  <c r="M57"/>
  <c r="R297"/>
  <c r="Q297"/>
  <c r="P297"/>
  <c r="O297"/>
  <c r="N297"/>
  <c r="M297"/>
  <c r="R41"/>
  <c r="Q41"/>
  <c r="P41"/>
  <c r="O41"/>
  <c r="N41"/>
  <c r="M41"/>
  <c r="R33"/>
  <c r="Q33"/>
  <c r="P33"/>
  <c r="O33"/>
  <c r="N33"/>
  <c r="M33"/>
  <c r="R252"/>
  <c r="Q252"/>
  <c r="P252"/>
  <c r="O252"/>
  <c r="N252"/>
  <c r="M252"/>
  <c r="R203"/>
  <c r="Q203"/>
  <c r="P203"/>
  <c r="O203"/>
  <c r="N203"/>
  <c r="M203"/>
  <c r="R281"/>
  <c r="Q281"/>
  <c r="P281"/>
  <c r="O281"/>
  <c r="N281"/>
  <c r="M281"/>
  <c r="R261"/>
  <c r="Q261"/>
  <c r="P261"/>
  <c r="O261"/>
  <c r="N261"/>
  <c r="M261"/>
  <c r="R225"/>
  <c r="Q225"/>
  <c r="P225"/>
  <c r="O225"/>
  <c r="N225"/>
  <c r="M225"/>
  <c r="R11"/>
  <c r="Q11"/>
  <c r="P11"/>
  <c r="O11"/>
  <c r="N11"/>
  <c r="M11"/>
  <c r="R132"/>
  <c r="Q132"/>
  <c r="P132"/>
  <c r="O132"/>
  <c r="N132"/>
  <c r="M132"/>
  <c r="R185"/>
  <c r="Q185"/>
  <c r="P185"/>
  <c r="O185"/>
  <c r="N185"/>
  <c r="M185"/>
  <c r="R186"/>
  <c r="Q186"/>
  <c r="P186"/>
  <c r="O186"/>
  <c r="N186"/>
  <c r="M186"/>
  <c r="R207"/>
  <c r="Q207"/>
  <c r="P207"/>
  <c r="O207"/>
  <c r="N207"/>
  <c r="M207"/>
  <c r="R263"/>
  <c r="Q263"/>
  <c r="P263"/>
  <c r="O263"/>
  <c r="N263"/>
  <c r="M263"/>
  <c r="R105"/>
  <c r="Q105"/>
  <c r="P105"/>
  <c r="O105"/>
  <c r="N105"/>
  <c r="M105"/>
  <c r="R4"/>
  <c r="Q4"/>
  <c r="P4"/>
  <c r="O4"/>
  <c r="N4"/>
  <c r="M4"/>
  <c r="R250"/>
  <c r="Q250"/>
  <c r="P250"/>
  <c r="O250"/>
  <c r="N250"/>
  <c r="M250"/>
  <c r="R44"/>
  <c r="Q44"/>
  <c r="P44"/>
  <c r="O44"/>
  <c r="N44"/>
  <c r="M44"/>
  <c r="R243"/>
  <c r="Q243"/>
  <c r="P243"/>
  <c r="O243"/>
  <c r="N243"/>
  <c r="M243"/>
  <c r="R222"/>
  <c r="Q222"/>
  <c r="P222"/>
  <c r="O222"/>
  <c r="N222"/>
  <c r="M222"/>
  <c r="R184"/>
  <c r="Q184"/>
  <c r="P184"/>
  <c r="O184"/>
  <c r="N184"/>
  <c r="M184"/>
  <c r="R267"/>
  <c r="Q267"/>
  <c r="P267"/>
  <c r="O267"/>
  <c r="N267"/>
  <c r="M267"/>
  <c r="R167"/>
  <c r="Q167"/>
  <c r="P167"/>
  <c r="O167"/>
  <c r="N167"/>
  <c r="M167"/>
  <c r="R140"/>
  <c r="Q140"/>
  <c r="P140"/>
  <c r="O140"/>
  <c r="N140"/>
  <c r="M140"/>
  <c r="R288"/>
  <c r="Q288"/>
  <c r="P288"/>
  <c r="O288"/>
  <c r="N288"/>
  <c r="M288"/>
  <c r="R309"/>
  <c r="Q309"/>
  <c r="P309"/>
  <c r="O309"/>
  <c r="N309"/>
  <c r="M309"/>
  <c r="R217"/>
  <c r="Q217"/>
  <c r="P217"/>
  <c r="O217"/>
  <c r="N217"/>
  <c r="M217"/>
  <c r="R112"/>
  <c r="Q112"/>
  <c r="P112"/>
  <c r="O112"/>
  <c r="N112"/>
  <c r="M112"/>
  <c r="R60"/>
  <c r="Q60"/>
  <c r="P60"/>
  <c r="O60"/>
  <c r="N60"/>
  <c r="M60"/>
  <c r="R216"/>
  <c r="Q216"/>
  <c r="P216"/>
  <c r="O216"/>
  <c r="N216"/>
  <c r="M216"/>
  <c r="R9"/>
  <c r="Q9"/>
  <c r="P9"/>
  <c r="O9"/>
  <c r="N9"/>
  <c r="M9"/>
  <c r="R246"/>
  <c r="Q246"/>
  <c r="P246"/>
  <c r="O246"/>
  <c r="N246"/>
  <c r="M246"/>
  <c r="R116"/>
  <c r="Q116"/>
  <c r="P116"/>
  <c r="O116"/>
  <c r="N116"/>
  <c r="M116"/>
  <c r="R151"/>
  <c r="Q151"/>
  <c r="P151"/>
  <c r="O151"/>
  <c r="N151"/>
  <c r="M151"/>
  <c r="R311"/>
  <c r="Q311"/>
  <c r="P311"/>
  <c r="O311"/>
  <c r="N311"/>
  <c r="M311"/>
  <c r="R206"/>
  <c r="Q206"/>
  <c r="P206"/>
  <c r="O206"/>
  <c r="N206"/>
  <c r="M206"/>
  <c r="R59"/>
  <c r="Q59"/>
  <c r="P59"/>
  <c r="O59"/>
  <c r="N59"/>
  <c r="M59"/>
  <c r="R316"/>
  <c r="Q316"/>
  <c r="P316"/>
  <c r="O316"/>
  <c r="N316"/>
  <c r="M316"/>
  <c r="R50"/>
  <c r="Q50"/>
  <c r="P50"/>
  <c r="O50"/>
  <c r="N50"/>
  <c r="M50"/>
  <c r="R95"/>
  <c r="Q95"/>
  <c r="P95"/>
  <c r="O95"/>
  <c r="N95"/>
  <c r="M95"/>
  <c r="R77"/>
  <c r="Q77"/>
  <c r="P77"/>
  <c r="O77"/>
  <c r="N77"/>
  <c r="M77"/>
  <c r="R189"/>
  <c r="Q189"/>
  <c r="P189"/>
  <c r="O189"/>
  <c r="N189"/>
  <c r="M189"/>
  <c r="R47"/>
  <c r="Q47"/>
  <c r="P47"/>
  <c r="O47"/>
  <c r="N47"/>
  <c r="M47"/>
  <c r="R20"/>
  <c r="Q20"/>
  <c r="P20"/>
  <c r="O20"/>
  <c r="N20"/>
  <c r="M20"/>
  <c r="R200"/>
  <c r="Q200"/>
  <c r="P200"/>
  <c r="O200"/>
  <c r="N200"/>
  <c r="M200"/>
  <c r="R139"/>
  <c r="Q139"/>
  <c r="P139"/>
  <c r="O139"/>
  <c r="N139"/>
  <c r="M139"/>
  <c r="R86"/>
  <c r="Q86"/>
  <c r="P86"/>
  <c r="O86"/>
  <c r="N86"/>
  <c r="M86"/>
  <c r="R196"/>
  <c r="Q196"/>
  <c r="P196"/>
  <c r="O196"/>
  <c r="N196"/>
  <c r="M196"/>
  <c r="R170"/>
  <c r="Q170"/>
  <c r="P170"/>
  <c r="O170"/>
  <c r="N170"/>
  <c r="M170"/>
  <c r="R42"/>
  <c r="Q42"/>
  <c r="P42"/>
  <c r="O42"/>
  <c r="N42"/>
  <c r="M42"/>
  <c r="R307"/>
  <c r="Q307"/>
  <c r="P307"/>
  <c r="O307"/>
  <c r="N307"/>
  <c r="M307"/>
  <c r="R121"/>
  <c r="Q121"/>
  <c r="P121"/>
  <c r="O121"/>
  <c r="N121"/>
  <c r="M121"/>
  <c r="R8"/>
  <c r="Q8"/>
  <c r="P8"/>
  <c r="O8"/>
  <c r="N8"/>
  <c r="M8"/>
  <c r="R148"/>
  <c r="Q148"/>
  <c r="P148"/>
  <c r="O148"/>
  <c r="N148"/>
  <c r="M148"/>
  <c r="R106"/>
  <c r="Q106"/>
  <c r="P106"/>
  <c r="O106"/>
  <c r="N106"/>
  <c r="M106"/>
  <c r="R166"/>
  <c r="Q166"/>
  <c r="P166"/>
  <c r="O166"/>
  <c r="N166"/>
  <c r="M166"/>
  <c r="R199"/>
  <c r="Q199"/>
  <c r="P199"/>
  <c r="O199"/>
  <c r="N199"/>
  <c r="M199"/>
  <c r="R100"/>
  <c r="Q100"/>
  <c r="P100"/>
  <c r="O100"/>
  <c r="U100" s="1"/>
  <c r="V100" s="1"/>
  <c r="N100"/>
  <c r="M100"/>
  <c r="R172"/>
  <c r="Q172"/>
  <c r="P172"/>
  <c r="O172"/>
  <c r="N172"/>
  <c r="M172"/>
  <c r="R270"/>
  <c r="Q270"/>
  <c r="P270"/>
  <c r="O270"/>
  <c r="U270" s="1"/>
  <c r="V270" s="1"/>
  <c r="N270"/>
  <c r="M270"/>
  <c r="R134"/>
  <c r="Q134"/>
  <c r="P134"/>
  <c r="O134"/>
  <c r="N134"/>
  <c r="M134"/>
  <c r="R98"/>
  <c r="Q98"/>
  <c r="P98"/>
  <c r="O98"/>
  <c r="U98" s="1"/>
  <c r="V98" s="1"/>
  <c r="N98"/>
  <c r="M98"/>
  <c r="R231"/>
  <c r="Q231"/>
  <c r="P231"/>
  <c r="O231"/>
  <c r="N231"/>
  <c r="M231"/>
  <c r="R213"/>
  <c r="Q213"/>
  <c r="P213"/>
  <c r="O213"/>
  <c r="U213" s="1"/>
  <c r="V213" s="1"/>
  <c r="N213"/>
  <c r="M213"/>
  <c r="R117"/>
  <c r="Q117"/>
  <c r="P117"/>
  <c r="O117"/>
  <c r="N117"/>
  <c r="M117"/>
  <c r="R94"/>
  <c r="Q94"/>
  <c r="P94"/>
  <c r="O94"/>
  <c r="U94" s="1"/>
  <c r="V94" s="1"/>
  <c r="N94"/>
  <c r="M94"/>
  <c r="R144"/>
  <c r="Q144"/>
  <c r="P144"/>
  <c r="O144"/>
  <c r="N144"/>
  <c r="M144"/>
  <c r="R198"/>
  <c r="Q198"/>
  <c r="P198"/>
  <c r="O198"/>
  <c r="U198" s="1"/>
  <c r="V198" s="1"/>
  <c r="N198"/>
  <c r="M198"/>
  <c r="R115"/>
  <c r="Q115"/>
  <c r="P115"/>
  <c r="O115"/>
  <c r="N115"/>
  <c r="M115"/>
  <c r="R317"/>
  <c r="Q317"/>
  <c r="P317"/>
  <c r="O317"/>
  <c r="U317" s="1"/>
  <c r="V317" s="1"/>
  <c r="N317"/>
  <c r="M317"/>
  <c r="R164"/>
  <c r="Q164"/>
  <c r="P164"/>
  <c r="O164"/>
  <c r="N164"/>
  <c r="M164"/>
  <c r="R181"/>
  <c r="Q181"/>
  <c r="P181"/>
  <c r="O181"/>
  <c r="U181" s="1"/>
  <c r="V181" s="1"/>
  <c r="N181"/>
  <c r="M181"/>
  <c r="R14"/>
  <c r="Q14"/>
  <c r="P14"/>
  <c r="O14"/>
  <c r="N14"/>
  <c r="M14"/>
  <c r="R70"/>
  <c r="Q70"/>
  <c r="P70"/>
  <c r="O70"/>
  <c r="U70" s="1"/>
  <c r="V70" s="1"/>
  <c r="N70"/>
  <c r="M70"/>
  <c r="R56"/>
  <c r="Q56"/>
  <c r="P56"/>
  <c r="O56"/>
  <c r="N56"/>
  <c r="M56"/>
  <c r="R247"/>
  <c r="Q247"/>
  <c r="P247"/>
  <c r="O247"/>
  <c r="U247" s="1"/>
  <c r="V247" s="1"/>
  <c r="N247"/>
  <c r="M247"/>
  <c r="R2"/>
  <c r="Q2"/>
  <c r="P2"/>
  <c r="O2"/>
  <c r="N2"/>
  <c r="M2"/>
  <c r="R287"/>
  <c r="Q287"/>
  <c r="P287"/>
  <c r="O287"/>
  <c r="U287" s="1"/>
  <c r="V287" s="1"/>
  <c r="N287"/>
  <c r="M287"/>
  <c r="R64"/>
  <c r="Q64"/>
  <c r="P64"/>
  <c r="O64"/>
  <c r="N64"/>
  <c r="M64"/>
  <c r="R109"/>
  <c r="Q109"/>
  <c r="P109"/>
  <c r="O109"/>
  <c r="U109" s="1"/>
  <c r="V109" s="1"/>
  <c r="N109"/>
  <c r="M109"/>
  <c r="R111"/>
  <c r="Q111"/>
  <c r="P111"/>
  <c r="O111"/>
  <c r="N111"/>
  <c r="M111"/>
  <c r="R102"/>
  <c r="Q102"/>
  <c r="P102"/>
  <c r="O102"/>
  <c r="U102" s="1"/>
  <c r="V102" s="1"/>
  <c r="N102"/>
  <c r="M102"/>
  <c r="R229"/>
  <c r="Q229"/>
  <c r="P229"/>
  <c r="O229"/>
  <c r="N229"/>
  <c r="M229"/>
  <c r="R127"/>
  <c r="Q127"/>
  <c r="P127"/>
  <c r="O127"/>
  <c r="U127" s="1"/>
  <c r="V127" s="1"/>
  <c r="N127"/>
  <c r="M127"/>
  <c r="R153"/>
  <c r="Q153"/>
  <c r="P153"/>
  <c r="O153"/>
  <c r="N153"/>
  <c r="M153"/>
  <c r="R123"/>
  <c r="Q123"/>
  <c r="P123"/>
  <c r="O123"/>
  <c r="U123" s="1"/>
  <c r="V123" s="1"/>
  <c r="N123"/>
  <c r="M123"/>
  <c r="R169"/>
  <c r="Q169"/>
  <c r="P169"/>
  <c r="O169"/>
  <c r="N169"/>
  <c r="M169"/>
  <c r="R82"/>
  <c r="Q82"/>
  <c r="P82"/>
  <c r="O82"/>
  <c r="U82" s="1"/>
  <c r="V82" s="1"/>
  <c r="N82"/>
  <c r="M82"/>
  <c r="R173"/>
  <c r="Q173"/>
  <c r="P173"/>
  <c r="O173"/>
  <c r="N173"/>
  <c r="M173"/>
  <c r="R84"/>
  <c r="Q84"/>
  <c r="P84"/>
  <c r="O84"/>
  <c r="U84" s="1"/>
  <c r="V84" s="1"/>
  <c r="N84"/>
  <c r="M84"/>
  <c r="R158"/>
  <c r="Q158"/>
  <c r="P158"/>
  <c r="O158"/>
  <c r="N158"/>
  <c r="M158"/>
  <c r="R219"/>
  <c r="Q219"/>
  <c r="P219"/>
  <c r="O219"/>
  <c r="U219" s="1"/>
  <c r="V219" s="1"/>
  <c r="N219"/>
  <c r="M219"/>
  <c r="R54"/>
  <c r="Q54"/>
  <c r="P54"/>
  <c r="O54"/>
  <c r="N54"/>
  <c r="M54"/>
  <c r="R97"/>
  <c r="Q97"/>
  <c r="P97"/>
  <c r="O97"/>
  <c r="U97" s="1"/>
  <c r="V97" s="1"/>
  <c r="N97"/>
  <c r="M97"/>
  <c r="R78"/>
  <c r="Q78"/>
  <c r="P78"/>
  <c r="O78"/>
  <c r="N78"/>
  <c r="M78"/>
  <c r="R265"/>
  <c r="Q265"/>
  <c r="P265"/>
  <c r="O265"/>
  <c r="U265" s="1"/>
  <c r="V265" s="1"/>
  <c r="N265"/>
  <c r="M265"/>
  <c r="R291"/>
  <c r="Q291"/>
  <c r="P291"/>
  <c r="O291"/>
  <c r="N291"/>
  <c r="M291"/>
  <c r="R160"/>
  <c r="Q160"/>
  <c r="P160"/>
  <c r="O160"/>
  <c r="U160" s="1"/>
  <c r="V160" s="1"/>
  <c r="N160"/>
  <c r="M160"/>
  <c r="R314"/>
  <c r="Q314"/>
  <c r="P314"/>
  <c r="O314"/>
  <c r="N314"/>
  <c r="M314"/>
  <c r="R292"/>
  <c r="Q292"/>
  <c r="P292"/>
  <c r="O292"/>
  <c r="U292" s="1"/>
  <c r="V292" s="1"/>
  <c r="N292"/>
  <c r="M292"/>
  <c r="R38"/>
  <c r="Q38"/>
  <c r="P38"/>
  <c r="O38"/>
  <c r="N38"/>
  <c r="M38"/>
  <c r="R262"/>
  <c r="Q262"/>
  <c r="P262"/>
  <c r="O262"/>
  <c r="U262" s="1"/>
  <c r="V262" s="1"/>
  <c r="N262"/>
  <c r="M262"/>
  <c r="R278"/>
  <c r="Q278"/>
  <c r="P278"/>
  <c r="O278"/>
  <c r="N278"/>
  <c r="M278"/>
  <c r="R298"/>
  <c r="Q298"/>
  <c r="P298"/>
  <c r="O298"/>
  <c r="U298" s="1"/>
  <c r="V298" s="1"/>
  <c r="N298"/>
  <c r="M298"/>
  <c r="R5"/>
  <c r="Q5"/>
  <c r="P5"/>
  <c r="O5"/>
  <c r="N5"/>
  <c r="M5"/>
  <c r="R285"/>
  <c r="Q285"/>
  <c r="P285"/>
  <c r="O285"/>
  <c r="U285" s="1"/>
  <c r="V285" s="1"/>
  <c r="N285"/>
  <c r="M285"/>
  <c r="R10"/>
  <c r="Q10"/>
  <c r="P10"/>
  <c r="O10"/>
  <c r="N10"/>
  <c r="M10"/>
  <c r="R264"/>
  <c r="Q264"/>
  <c r="P264"/>
  <c r="O264"/>
  <c r="U264" s="1"/>
  <c r="V264" s="1"/>
  <c r="N264"/>
  <c r="M264"/>
  <c r="R179"/>
  <c r="Q179"/>
  <c r="P179"/>
  <c r="O179"/>
  <c r="N179"/>
  <c r="M179"/>
  <c r="R23"/>
  <c r="Q23"/>
  <c r="P23"/>
  <c r="O23"/>
  <c r="U23" s="1"/>
  <c r="V23" s="1"/>
  <c r="N23"/>
  <c r="M23"/>
  <c r="R259"/>
  <c r="Q259"/>
  <c r="P259"/>
  <c r="O259"/>
  <c r="N259"/>
  <c r="M259"/>
  <c r="R178"/>
  <c r="Q178"/>
  <c r="P178"/>
  <c r="O178"/>
  <c r="U178" s="1"/>
  <c r="V178" s="1"/>
  <c r="N178"/>
  <c r="M178"/>
  <c r="R157"/>
  <c r="Q157"/>
  <c r="P157"/>
  <c r="O157"/>
  <c r="N157"/>
  <c r="M157"/>
  <c r="R273"/>
  <c r="Q273"/>
  <c r="P273"/>
  <c r="O273"/>
  <c r="U273" s="1"/>
  <c r="V273" s="1"/>
  <c r="N273"/>
  <c r="M273"/>
  <c r="R302"/>
  <c r="Q302"/>
  <c r="P302"/>
  <c r="O302"/>
  <c r="N302"/>
  <c r="M302"/>
  <c r="R187"/>
  <c r="Q187"/>
  <c r="P187"/>
  <c r="O187"/>
  <c r="U187" s="1"/>
  <c r="V187" s="1"/>
  <c r="N187"/>
  <c r="M187"/>
  <c r="R138"/>
  <c r="Q138"/>
  <c r="P138"/>
  <c r="O138"/>
  <c r="N138"/>
  <c r="M138"/>
  <c r="R28"/>
  <c r="Q28"/>
  <c r="P28"/>
  <c r="O28"/>
  <c r="U28" s="1"/>
  <c r="V28" s="1"/>
  <c r="N28"/>
  <c r="M28"/>
  <c r="R66"/>
  <c r="Q66"/>
  <c r="P66"/>
  <c r="O66"/>
  <c r="N66"/>
  <c r="M66"/>
  <c r="R51"/>
  <c r="Q51"/>
  <c r="P51"/>
  <c r="O51"/>
  <c r="U51" s="1"/>
  <c r="V51" s="1"/>
  <c r="N51"/>
  <c r="M51"/>
  <c r="R75"/>
  <c r="Q75"/>
  <c r="P75"/>
  <c r="O75"/>
  <c r="N75"/>
  <c r="M75"/>
  <c r="R228"/>
  <c r="Q228"/>
  <c r="P228"/>
  <c r="O228"/>
  <c r="U228" s="1"/>
  <c r="V228" s="1"/>
  <c r="N228"/>
  <c r="M228"/>
  <c r="R143"/>
  <c r="Q143"/>
  <c r="P143"/>
  <c r="O143"/>
  <c r="N143"/>
  <c r="M143"/>
  <c r="R239"/>
  <c r="Q239"/>
  <c r="P239"/>
  <c r="O239"/>
  <c r="U239" s="1"/>
  <c r="V239" s="1"/>
  <c r="N239"/>
  <c r="M239"/>
  <c r="R55"/>
  <c r="Q55"/>
  <c r="P55"/>
  <c r="O55"/>
  <c r="N55"/>
  <c r="M55"/>
  <c r="R174"/>
  <c r="Q174"/>
  <c r="P174"/>
  <c r="O174"/>
  <c r="U174" s="1"/>
  <c r="V174" s="1"/>
  <c r="N174"/>
  <c r="M174"/>
  <c r="R24"/>
  <c r="Q24"/>
  <c r="P24"/>
  <c r="O24"/>
  <c r="N24"/>
  <c r="M24"/>
  <c r="R188"/>
  <c r="Q188"/>
  <c r="P188"/>
  <c r="O188"/>
  <c r="U188" s="1"/>
  <c r="V188" s="1"/>
  <c r="N188"/>
  <c r="M188"/>
  <c r="R32"/>
  <c r="Q32"/>
  <c r="P32"/>
  <c r="O32"/>
  <c r="N32"/>
  <c r="M32"/>
  <c r="R192"/>
  <c r="Q192"/>
  <c r="P192"/>
  <c r="O192"/>
  <c r="U192" s="1"/>
  <c r="V192" s="1"/>
  <c r="N192"/>
  <c r="M192"/>
  <c r="R124"/>
  <c r="Q124"/>
  <c r="P124"/>
  <c r="O124"/>
  <c r="N124"/>
  <c r="M124"/>
  <c r="R74"/>
  <c r="Q74"/>
  <c r="P74"/>
  <c r="O74"/>
  <c r="U74" s="1"/>
  <c r="V74" s="1"/>
  <c r="N74"/>
  <c r="M74"/>
  <c r="R191"/>
  <c r="Q191"/>
  <c r="P191"/>
  <c r="O191"/>
  <c r="N191"/>
  <c r="M191"/>
  <c r="R35"/>
  <c r="Q35"/>
  <c r="P35"/>
  <c r="O35"/>
  <c r="U35" s="1"/>
  <c r="V35" s="1"/>
  <c r="N35"/>
  <c r="M35"/>
  <c r="R175"/>
  <c r="Q175"/>
  <c r="P175"/>
  <c r="O175"/>
  <c r="N175"/>
  <c r="M175"/>
  <c r="R16"/>
  <c r="Q16"/>
  <c r="P16"/>
  <c r="O16"/>
  <c r="U16" s="1"/>
  <c r="V16" s="1"/>
  <c r="N16"/>
  <c r="M16"/>
  <c r="R293"/>
  <c r="Q293"/>
  <c r="P293"/>
  <c r="O293"/>
  <c r="N293"/>
  <c r="M293"/>
  <c r="R161"/>
  <c r="Q161"/>
  <c r="P161"/>
  <c r="O161"/>
  <c r="U161" s="1"/>
  <c r="V161" s="1"/>
  <c r="N161"/>
  <c r="M161"/>
  <c r="R125"/>
  <c r="Q125"/>
  <c r="P125"/>
  <c r="O125"/>
  <c r="N125"/>
  <c r="M125"/>
  <c r="R205"/>
  <c r="Q205"/>
  <c r="P205"/>
  <c r="O205"/>
  <c r="U205" s="1"/>
  <c r="V205" s="1"/>
  <c r="N205"/>
  <c r="M205"/>
  <c r="R220"/>
  <c r="Q220"/>
  <c r="P220"/>
  <c r="O220"/>
  <c r="N220"/>
  <c r="M220"/>
  <c r="R40"/>
  <c r="Q40"/>
  <c r="P40"/>
  <c r="O40"/>
  <c r="U40" s="1"/>
  <c r="V40" s="1"/>
  <c r="N40"/>
  <c r="M40"/>
  <c r="R272"/>
  <c r="Q272"/>
  <c r="P272"/>
  <c r="O272"/>
  <c r="N272"/>
  <c r="M272"/>
  <c r="R194"/>
  <c r="Q194"/>
  <c r="P194"/>
  <c r="O194"/>
  <c r="U194" s="1"/>
  <c r="V194" s="1"/>
  <c r="N194"/>
  <c r="M194"/>
  <c r="R17"/>
  <c r="Q17"/>
  <c r="P17"/>
  <c r="O17"/>
  <c r="N17"/>
  <c r="M17"/>
  <c r="R286"/>
  <c r="Q286"/>
  <c r="P286"/>
  <c r="O286"/>
  <c r="U286" s="1"/>
  <c r="V286" s="1"/>
  <c r="N286"/>
  <c r="M286"/>
  <c r="R18"/>
  <c r="Q18"/>
  <c r="P18"/>
  <c r="O18"/>
  <c r="N18"/>
  <c r="M18"/>
  <c r="R29"/>
  <c r="Q29"/>
  <c r="P29"/>
  <c r="O29"/>
  <c r="U29" s="1"/>
  <c r="V29" s="1"/>
  <c r="N29"/>
  <c r="M29"/>
  <c r="R180"/>
  <c r="Q180"/>
  <c r="P180"/>
  <c r="O180"/>
  <c r="N180"/>
  <c r="M180"/>
  <c r="R248"/>
  <c r="Q248"/>
  <c r="P248"/>
  <c r="O248"/>
  <c r="U248" s="1"/>
  <c r="V248" s="1"/>
  <c r="N248"/>
  <c r="M248"/>
  <c r="R195"/>
  <c r="Q195"/>
  <c r="P195"/>
  <c r="O195"/>
  <c r="N195"/>
  <c r="M195"/>
  <c r="R260"/>
  <c r="Q260"/>
  <c r="P260"/>
  <c r="O260"/>
  <c r="U260" s="1"/>
  <c r="V260" s="1"/>
  <c r="N260"/>
  <c r="M260"/>
  <c r="R133"/>
  <c r="Q133"/>
  <c r="P133"/>
  <c r="O133"/>
  <c r="N133"/>
  <c r="M133"/>
  <c r="R230"/>
  <c r="Q230"/>
  <c r="P230"/>
  <c r="O230"/>
  <c r="U230" s="1"/>
  <c r="V230" s="1"/>
  <c r="N230"/>
  <c r="M230"/>
  <c r="R128"/>
  <c r="Q128"/>
  <c r="P128"/>
  <c r="O128"/>
  <c r="N128"/>
  <c r="M128"/>
  <c r="R126"/>
  <c r="Q126"/>
  <c r="P126"/>
  <c r="O126"/>
  <c r="U126" s="1"/>
  <c r="V126" s="1"/>
  <c r="N126"/>
  <c r="M126"/>
  <c r="R136"/>
  <c r="Q136"/>
  <c r="P136"/>
  <c r="O136"/>
  <c r="N136"/>
  <c r="M136"/>
  <c r="R142"/>
  <c r="Q142"/>
  <c r="P142"/>
  <c r="O142"/>
  <c r="N142"/>
  <c r="M142"/>
  <c r="R110"/>
  <c r="Q110"/>
  <c r="P110"/>
  <c r="O110"/>
  <c r="N110"/>
  <c r="M110"/>
  <c r="R120"/>
  <c r="Q120"/>
  <c r="P120"/>
  <c r="O120"/>
  <c r="N120"/>
  <c r="M120"/>
  <c r="R155"/>
  <c r="Q155"/>
  <c r="P155"/>
  <c r="O155"/>
  <c r="N155"/>
  <c r="M155"/>
  <c r="R214"/>
  <c r="Q214"/>
  <c r="P214"/>
  <c r="O214"/>
  <c r="N214"/>
  <c r="M214"/>
  <c r="R107"/>
  <c r="Q107"/>
  <c r="P107"/>
  <c r="O107"/>
  <c r="N107"/>
  <c r="M107"/>
  <c r="R103"/>
  <c r="Q103"/>
  <c r="P103"/>
  <c r="O103"/>
  <c r="N103"/>
  <c r="M103"/>
  <c r="R131"/>
  <c r="Q131"/>
  <c r="P131"/>
  <c r="O131"/>
  <c r="N131"/>
  <c r="M131"/>
  <c r="R72"/>
  <c r="Q72"/>
  <c r="P72"/>
  <c r="O72"/>
  <c r="N72"/>
  <c r="M72"/>
  <c r="R61"/>
  <c r="Q61"/>
  <c r="P61"/>
  <c r="O61"/>
  <c r="N61"/>
  <c r="M61"/>
  <c r="R39"/>
  <c r="Q39"/>
  <c r="P39"/>
  <c r="O39"/>
  <c r="N39"/>
  <c r="M39"/>
  <c r="R27"/>
  <c r="Q27"/>
  <c r="P27"/>
  <c r="O27"/>
  <c r="N27"/>
  <c r="M27"/>
  <c r="R312"/>
  <c r="Q312"/>
  <c r="P312"/>
  <c r="O312"/>
  <c r="N312"/>
  <c r="M312"/>
  <c r="R237"/>
  <c r="Q237"/>
  <c r="P237"/>
  <c r="O237"/>
  <c r="N237"/>
  <c r="M237"/>
  <c r="R232"/>
  <c r="Q232"/>
  <c r="P232"/>
  <c r="O232"/>
  <c r="N232"/>
  <c r="M232"/>
  <c r="R305"/>
  <c r="Q305"/>
  <c r="P305"/>
  <c r="O305"/>
  <c r="N305"/>
  <c r="M305"/>
  <c r="R296"/>
  <c r="Q296"/>
  <c r="P296"/>
  <c r="O296"/>
  <c r="N296"/>
  <c r="M296"/>
  <c r="R137"/>
  <c r="Q137"/>
  <c r="P137"/>
  <c r="O137"/>
  <c r="N137"/>
  <c r="M137"/>
  <c r="R306"/>
  <c r="Q306"/>
  <c r="P306"/>
  <c r="O306"/>
  <c r="N306"/>
  <c r="M306"/>
  <c r="R193"/>
  <c r="Q193"/>
  <c r="P193"/>
  <c r="O193"/>
  <c r="N193"/>
  <c r="M193"/>
  <c r="R190"/>
  <c r="Q190"/>
  <c r="P190"/>
  <c r="O190"/>
  <c r="N190"/>
  <c r="M190"/>
  <c r="R223"/>
  <c r="Q223"/>
  <c r="P223"/>
  <c r="O223"/>
  <c r="N223"/>
  <c r="M223"/>
  <c r="R58"/>
  <c r="Q58"/>
  <c r="P58"/>
  <c r="O58"/>
  <c r="N58"/>
  <c r="M58"/>
  <c r="R271"/>
  <c r="Q271"/>
  <c r="P271"/>
  <c r="O271"/>
  <c r="N271"/>
  <c r="M271"/>
  <c r="R30"/>
  <c r="Q30"/>
  <c r="P30"/>
  <c r="O30"/>
  <c r="N30"/>
  <c r="M30"/>
  <c r="R256"/>
  <c r="Q256"/>
  <c r="P256"/>
  <c r="O256"/>
  <c r="N256"/>
  <c r="M256"/>
  <c r="R289"/>
  <c r="Q289"/>
  <c r="P289"/>
  <c r="O289"/>
  <c r="N289"/>
  <c r="M289"/>
  <c r="R104"/>
  <c r="Q104"/>
  <c r="P104"/>
  <c r="O104"/>
  <c r="N104"/>
  <c r="M104"/>
  <c r="R290"/>
  <c r="Q290"/>
  <c r="P290"/>
  <c r="O290"/>
  <c r="N290"/>
  <c r="M290"/>
  <c r="R135"/>
  <c r="Q135"/>
  <c r="P135"/>
  <c r="O135"/>
  <c r="N135"/>
  <c r="M135"/>
  <c r="R245"/>
  <c r="Q245"/>
  <c r="P245"/>
  <c r="O245"/>
  <c r="N245"/>
  <c r="M245"/>
  <c r="R7"/>
  <c r="Q7"/>
  <c r="P7"/>
  <c r="O7"/>
  <c r="N7"/>
  <c r="M7"/>
  <c r="R212"/>
  <c r="Q212"/>
  <c r="P212"/>
  <c r="O212"/>
  <c r="N212"/>
  <c r="M212"/>
  <c r="R276"/>
  <c r="Q276"/>
  <c r="P276"/>
  <c r="O276"/>
  <c r="N276"/>
  <c r="M276"/>
  <c r="R299"/>
  <c r="Q299"/>
  <c r="P299"/>
  <c r="O299"/>
  <c r="N299"/>
  <c r="M299"/>
  <c r="R93"/>
  <c r="Q93"/>
  <c r="P93"/>
  <c r="O93"/>
  <c r="N93"/>
  <c r="M93"/>
  <c r="R101"/>
  <c r="Q101"/>
  <c r="P101"/>
  <c r="O101"/>
  <c r="N101"/>
  <c r="M101"/>
  <c r="R3"/>
  <c r="Q3"/>
  <c r="P3"/>
  <c r="O3"/>
  <c r="N3"/>
  <c r="M3"/>
  <c r="R235"/>
  <c r="Q235"/>
  <c r="P235"/>
  <c r="O235"/>
  <c r="N235"/>
  <c r="M235"/>
  <c r="R68"/>
  <c r="Q68"/>
  <c r="P68"/>
  <c r="O68"/>
  <c r="N68"/>
  <c r="M68"/>
  <c r="R91"/>
  <c r="Q91"/>
  <c r="P91"/>
  <c r="O91"/>
  <c r="N91"/>
  <c r="M91"/>
  <c r="R62"/>
  <c r="Q62"/>
  <c r="P62"/>
  <c r="O62"/>
  <c r="N62"/>
  <c r="M62"/>
  <c r="R12"/>
  <c r="Q12"/>
  <c r="P12"/>
  <c r="O12"/>
  <c r="N12"/>
  <c r="M12"/>
  <c r="R209"/>
  <c r="Q209"/>
  <c r="P209"/>
  <c r="O209"/>
  <c r="N209"/>
  <c r="M209"/>
  <c r="R99"/>
  <c r="Q99"/>
  <c r="P99"/>
  <c r="O99"/>
  <c r="N99"/>
  <c r="M99"/>
  <c r="R6"/>
  <c r="Q6"/>
  <c r="P6"/>
  <c r="O6"/>
  <c r="N6"/>
  <c r="M6"/>
  <c r="R118"/>
  <c r="Q118"/>
  <c r="P118"/>
  <c r="O118"/>
  <c r="N118"/>
  <c r="M118"/>
  <c r="R266"/>
  <c r="Q266"/>
  <c r="P266"/>
  <c r="O266"/>
  <c r="N266"/>
  <c r="M266"/>
  <c r="R81"/>
  <c r="Q81"/>
  <c r="P81"/>
  <c r="O81"/>
  <c r="N81"/>
  <c r="M81"/>
  <c r="R129"/>
  <c r="Q129"/>
  <c r="P129"/>
  <c r="O129"/>
  <c r="N129"/>
  <c r="M129"/>
  <c r="R268"/>
  <c r="Q268"/>
  <c r="P268"/>
  <c r="O268"/>
  <c r="N268"/>
  <c r="M268"/>
  <c r="R13"/>
  <c r="Q13"/>
  <c r="P13"/>
  <c r="O13"/>
  <c r="N13"/>
  <c r="M13"/>
  <c r="R114"/>
  <c r="Q114"/>
  <c r="P114"/>
  <c r="O114"/>
  <c r="N114"/>
  <c r="M114"/>
  <c r="R197"/>
  <c r="Q197"/>
  <c r="P197"/>
  <c r="O197"/>
  <c r="N197"/>
  <c r="M197"/>
  <c r="R31"/>
  <c r="Q31"/>
  <c r="P31"/>
  <c r="O31"/>
  <c r="N31"/>
  <c r="M31"/>
  <c r="R46"/>
  <c r="Q46"/>
  <c r="P46"/>
  <c r="O46"/>
  <c r="N46"/>
  <c r="M46"/>
  <c r="R226"/>
  <c r="Q226"/>
  <c r="P226"/>
  <c r="O226"/>
  <c r="N226"/>
  <c r="M226"/>
  <c r="R146"/>
  <c r="Q146"/>
  <c r="P146"/>
  <c r="O146"/>
  <c r="N146"/>
  <c r="M146"/>
  <c r="R145"/>
  <c r="Q145"/>
  <c r="P145"/>
  <c r="O145"/>
  <c r="N145"/>
  <c r="M145"/>
  <c r="R321"/>
  <c r="Q321"/>
  <c r="P321"/>
  <c r="O321"/>
  <c r="N321"/>
  <c r="M321"/>
  <c r="R119"/>
  <c r="Q119"/>
  <c r="P119"/>
  <c r="O119"/>
  <c r="N119"/>
  <c r="M119"/>
  <c r="R244"/>
  <c r="Q244"/>
  <c r="P244"/>
  <c r="O244"/>
  <c r="N244"/>
  <c r="M244"/>
  <c r="R96"/>
  <c r="Q96"/>
  <c r="P96"/>
  <c r="O96"/>
  <c r="N96"/>
  <c r="M96"/>
  <c r="R254"/>
  <c r="Q254"/>
  <c r="P254"/>
  <c r="O254"/>
  <c r="N254"/>
  <c r="M254"/>
  <c r="R108"/>
  <c r="Q108"/>
  <c r="P108"/>
  <c r="O108"/>
  <c r="N108"/>
  <c r="M108"/>
  <c r="R168"/>
  <c r="Q168"/>
  <c r="P168"/>
  <c r="O168"/>
  <c r="N168"/>
  <c r="M168"/>
  <c r="R36"/>
  <c r="Q36"/>
  <c r="P36"/>
  <c r="O36"/>
  <c r="N36"/>
  <c r="M36"/>
  <c r="R63"/>
  <c r="Q63"/>
  <c r="P63"/>
  <c r="O63"/>
  <c r="N63"/>
  <c r="M63"/>
  <c r="R274"/>
  <c r="Q274"/>
  <c r="P274"/>
  <c r="O274"/>
  <c r="N274"/>
  <c r="M274"/>
  <c r="R236"/>
  <c r="Q236"/>
  <c r="P236"/>
  <c r="O236"/>
  <c r="N236"/>
  <c r="M236"/>
  <c r="R25"/>
  <c r="Q25"/>
  <c r="P25"/>
  <c r="O25"/>
  <c r="N25"/>
  <c r="M25"/>
  <c r="R34"/>
  <c r="Q34"/>
  <c r="P34"/>
  <c r="O34"/>
  <c r="N34"/>
  <c r="M34"/>
  <c r="R182"/>
  <c r="Q182"/>
  <c r="P182"/>
  <c r="O182"/>
  <c r="N182"/>
  <c r="M182"/>
  <c r="R238"/>
  <c r="Q238"/>
  <c r="P238"/>
  <c r="O238"/>
  <c r="N238"/>
  <c r="M238"/>
  <c r="R19"/>
  <c r="Q19"/>
  <c r="P19"/>
  <c r="O19"/>
  <c r="N19"/>
  <c r="M19"/>
  <c r="R283"/>
  <c r="Q283"/>
  <c r="P283"/>
  <c r="O283"/>
  <c r="N283"/>
  <c r="M283"/>
  <c r="R48"/>
  <c r="Q48"/>
  <c r="P48"/>
  <c r="O48"/>
  <c r="N48"/>
  <c r="M48"/>
  <c r="R26"/>
  <c r="Q26"/>
  <c r="P26"/>
  <c r="O26"/>
  <c r="N26"/>
  <c r="M26"/>
  <c r="R79"/>
  <c r="Q79"/>
  <c r="P79"/>
  <c r="O79"/>
  <c r="N79"/>
  <c r="M79"/>
  <c r="R227"/>
  <c r="Q227"/>
  <c r="P227"/>
  <c r="O227"/>
  <c r="N227"/>
  <c r="M227"/>
  <c r="R15"/>
  <c r="Q15"/>
  <c r="P15"/>
  <c r="O15"/>
  <c r="N15"/>
  <c r="M15"/>
  <c r="R162"/>
  <c r="Q162"/>
  <c r="P162"/>
  <c r="O162"/>
  <c r="N162"/>
  <c r="M162"/>
  <c r="R320"/>
  <c r="Q320"/>
  <c r="P320"/>
  <c r="O320"/>
  <c r="N320"/>
  <c r="M320"/>
  <c r="R154"/>
  <c r="Q154"/>
  <c r="P154"/>
  <c r="O154"/>
  <c r="N154"/>
  <c r="M154"/>
  <c r="R275"/>
  <c r="Q275"/>
  <c r="P275"/>
  <c r="O275"/>
  <c r="N275"/>
  <c r="M275"/>
  <c r="R71"/>
  <c r="Q71"/>
  <c r="P71"/>
  <c r="O71"/>
  <c r="N71"/>
  <c r="M71"/>
  <c r="R156"/>
  <c r="Q156"/>
  <c r="P156"/>
  <c r="O156"/>
  <c r="N156"/>
  <c r="M156"/>
  <c r="R65"/>
  <c r="Q65"/>
  <c r="P65"/>
  <c r="O65"/>
  <c r="N65"/>
  <c r="M65"/>
  <c r="R49"/>
  <c r="Q49"/>
  <c r="P49"/>
  <c r="O49"/>
  <c r="N49"/>
  <c r="M49"/>
  <c r="R241"/>
  <c r="Q241"/>
  <c r="P241"/>
  <c r="O241"/>
  <c r="N241"/>
  <c r="M241"/>
  <c r="R304"/>
  <c r="Q304"/>
  <c r="P304"/>
  <c r="O304"/>
  <c r="N304"/>
  <c r="M304"/>
  <c r="R249"/>
  <c r="Q249"/>
  <c r="P249"/>
  <c r="O249"/>
  <c r="N249"/>
  <c r="M249"/>
  <c r="R257"/>
  <c r="Q257"/>
  <c r="P257"/>
  <c r="O257"/>
  <c r="N257"/>
  <c r="M257"/>
  <c r="R315"/>
  <c r="Q315"/>
  <c r="P315"/>
  <c r="O315"/>
  <c r="N315"/>
  <c r="M315"/>
  <c r="R92"/>
  <c r="Q92"/>
  <c r="P92"/>
  <c r="O92"/>
  <c r="N92"/>
  <c r="M92"/>
  <c r="R73"/>
  <c r="Q73"/>
  <c r="P73"/>
  <c r="O73"/>
  <c r="N73"/>
  <c r="M73"/>
  <c r="R269"/>
  <c r="Q269"/>
  <c r="P269"/>
  <c r="O269"/>
  <c r="N269"/>
  <c r="M269"/>
  <c r="R76"/>
  <c r="Q76"/>
  <c r="P76"/>
  <c r="O76"/>
  <c r="N76"/>
  <c r="M76"/>
  <c r="R89"/>
  <c r="Q89"/>
  <c r="P89"/>
  <c r="O89"/>
  <c r="N89"/>
  <c r="M89"/>
  <c r="R90"/>
  <c r="Q90"/>
  <c r="P90"/>
  <c r="O90"/>
  <c r="N90"/>
  <c r="M90"/>
  <c r="R294"/>
  <c r="Q294"/>
  <c r="P294"/>
  <c r="O294"/>
  <c r="N294"/>
  <c r="M294"/>
  <c r="R69"/>
  <c r="Q69"/>
  <c r="P69"/>
  <c r="O69"/>
  <c r="N69"/>
  <c r="M69"/>
  <c r="R88"/>
  <c r="Q88"/>
  <c r="P88"/>
  <c r="O88"/>
  <c r="N88"/>
  <c r="M88"/>
  <c r="R258"/>
  <c r="Q258"/>
  <c r="P258"/>
  <c r="O258"/>
  <c r="N258"/>
  <c r="M258"/>
  <c r="R319"/>
  <c r="Q319"/>
  <c r="P319"/>
  <c r="O319"/>
  <c r="N319"/>
  <c r="M319"/>
  <c r="R150"/>
  <c r="Q150"/>
  <c r="P150"/>
  <c r="O150"/>
  <c r="N150"/>
  <c r="M150"/>
  <c r="R67"/>
  <c r="Q67"/>
  <c r="P67"/>
  <c r="O67"/>
  <c r="N67"/>
  <c r="M67"/>
  <c r="R147"/>
  <c r="Q147"/>
  <c r="P147"/>
  <c r="O147"/>
  <c r="N147"/>
  <c r="M147"/>
  <c r="R122"/>
  <c r="Q122"/>
  <c r="P122"/>
  <c r="O122"/>
  <c r="N122"/>
  <c r="M122"/>
  <c r="R234"/>
  <c r="Q234"/>
  <c r="P234"/>
  <c r="O234"/>
  <c r="N234"/>
  <c r="M234"/>
  <c r="R208"/>
  <c r="Q208"/>
  <c r="P208"/>
  <c r="O208"/>
  <c r="N208"/>
  <c r="M208"/>
  <c r="R240"/>
  <c r="Q240"/>
  <c r="P240"/>
  <c r="O240"/>
  <c r="N240"/>
  <c r="M240"/>
  <c r="R43"/>
  <c r="Q43"/>
  <c r="P43"/>
  <c r="O43"/>
  <c r="N43"/>
  <c r="M43"/>
  <c r="R177"/>
  <c r="Q177"/>
  <c r="P177"/>
  <c r="O177"/>
  <c r="N177"/>
  <c r="M177"/>
  <c r="R152"/>
  <c r="Q152"/>
  <c r="P152"/>
  <c r="O152"/>
  <c r="N152"/>
  <c r="M152"/>
  <c r="R295"/>
  <c r="Q295"/>
  <c r="P295"/>
  <c r="O295"/>
  <c r="N295"/>
  <c r="M295"/>
  <c r="R308"/>
  <c r="Q308"/>
  <c r="P308"/>
  <c r="O308"/>
  <c r="N308"/>
  <c r="M308"/>
  <c r="R211"/>
  <c r="Q211"/>
  <c r="P211"/>
  <c r="O211"/>
  <c r="N211"/>
  <c r="M211"/>
  <c r="R215"/>
  <c r="Q215"/>
  <c r="P215"/>
  <c r="O215"/>
  <c r="N215"/>
  <c r="M215"/>
  <c r="R85"/>
  <c r="Q85"/>
  <c r="P85"/>
  <c r="O85"/>
  <c r="N85"/>
  <c r="M85"/>
  <c r="R301"/>
  <c r="Q301"/>
  <c r="P301"/>
  <c r="O301"/>
  <c r="N301"/>
  <c r="M301"/>
  <c r="R52"/>
  <c r="Q52"/>
  <c r="P52"/>
  <c r="O52"/>
  <c r="N52"/>
  <c r="M52"/>
  <c r="R242"/>
  <c r="Q242"/>
  <c r="P242"/>
  <c r="O242"/>
  <c r="N242"/>
  <c r="M242"/>
  <c r="R318"/>
  <c r="Q318"/>
  <c r="P318"/>
  <c r="O318"/>
  <c r="N318"/>
  <c r="M318"/>
  <c r="R277"/>
  <c r="Q277"/>
  <c r="P277"/>
  <c r="O277"/>
  <c r="N277"/>
  <c r="M277"/>
  <c r="R165"/>
  <c r="Q165"/>
  <c r="P165"/>
  <c r="O165"/>
  <c r="N165"/>
  <c r="M165"/>
  <c r="R141"/>
  <c r="Q141"/>
  <c r="P141"/>
  <c r="O141"/>
  <c r="N141"/>
  <c r="M141"/>
  <c r="R202"/>
  <c r="Q202"/>
  <c r="P202"/>
  <c r="O202"/>
  <c r="N202"/>
  <c r="M202"/>
  <c r="R310"/>
  <c r="Q310"/>
  <c r="P310"/>
  <c r="O310"/>
  <c r="N310"/>
  <c r="M310"/>
  <c r="R233"/>
  <c r="Q233"/>
  <c r="P233"/>
  <c r="O233"/>
  <c r="N233"/>
  <c r="M233"/>
  <c r="R255"/>
  <c r="Q255"/>
  <c r="P255"/>
  <c r="O255"/>
  <c r="N255"/>
  <c r="M255"/>
  <c r="R176"/>
  <c r="Q176"/>
  <c r="P176"/>
  <c r="O176"/>
  <c r="N176"/>
  <c r="M176"/>
  <c r="R201"/>
  <c r="Q201"/>
  <c r="P201"/>
  <c r="O201"/>
  <c r="N201"/>
  <c r="M201"/>
  <c r="R87"/>
  <c r="Q87"/>
  <c r="P87"/>
  <c r="O87"/>
  <c r="N87"/>
  <c r="M87"/>
  <c r="R183"/>
  <c r="Q183"/>
  <c r="P183"/>
  <c r="O183"/>
  <c r="N183"/>
  <c r="M183"/>
  <c r="R280"/>
  <c r="Q280"/>
  <c r="P280"/>
  <c r="O280"/>
  <c r="N280"/>
  <c r="M280"/>
  <c r="R53"/>
  <c r="Q53"/>
  <c r="P53"/>
  <c r="O53"/>
  <c r="N53"/>
  <c r="M53"/>
  <c r="R45"/>
  <c r="Q45"/>
  <c r="P45"/>
  <c r="O45"/>
  <c r="N45"/>
  <c r="M45"/>
  <c r="R253"/>
  <c r="Q253"/>
  <c r="P253"/>
  <c r="O253"/>
  <c r="N253"/>
  <c r="M253"/>
  <c r="R251"/>
  <c r="Q251"/>
  <c r="P251"/>
  <c r="O251"/>
  <c r="N251"/>
  <c r="M251"/>
  <c r="R22"/>
  <c r="Q22"/>
  <c r="P22"/>
  <c r="O22"/>
  <c r="N22"/>
  <c r="M22"/>
  <c r="R21"/>
  <c r="Q21"/>
  <c r="P21"/>
  <c r="O21"/>
  <c r="N21"/>
  <c r="M21"/>
  <c r="R163"/>
  <c r="Q163"/>
  <c r="P163"/>
  <c r="O163"/>
  <c r="N163"/>
  <c r="M163"/>
  <c r="R204"/>
  <c r="Q204"/>
  <c r="P204"/>
  <c r="O204"/>
  <c r="N204"/>
  <c r="M204"/>
  <c r="R284"/>
  <c r="Q284"/>
  <c r="P284"/>
  <c r="O284"/>
  <c r="N284"/>
  <c r="M284"/>
  <c r="R313"/>
  <c r="Q313"/>
  <c r="P313"/>
  <c r="O313"/>
  <c r="N313"/>
  <c r="M313"/>
  <c r="R221"/>
  <c r="Q221"/>
  <c r="P221"/>
  <c r="O221"/>
  <c r="N221"/>
  <c r="M221"/>
  <c r="R279"/>
  <c r="Q279"/>
  <c r="P279"/>
  <c r="O279"/>
  <c r="N279"/>
  <c r="M279"/>
  <c r="R224"/>
  <c r="Q224"/>
  <c r="P224"/>
  <c r="O224"/>
  <c r="N224"/>
  <c r="M224"/>
  <c r="U277" i="3"/>
  <c r="U278"/>
  <c r="U279"/>
  <c r="U280"/>
  <c r="U281"/>
  <c r="U282"/>
  <c r="U283"/>
  <c r="U284"/>
  <c r="U285"/>
  <c r="U286"/>
  <c r="U287"/>
  <c r="U288"/>
  <c r="U289"/>
  <c r="U290"/>
  <c r="U291"/>
  <c r="U292"/>
  <c r="U293"/>
  <c r="U294"/>
  <c r="U295"/>
  <c r="U296"/>
  <c r="U297"/>
  <c r="U298"/>
  <c r="U299"/>
  <c r="U300"/>
  <c r="U301"/>
  <c r="U302"/>
  <c r="U303"/>
  <c r="U304"/>
  <c r="U305"/>
  <c r="U306"/>
  <c r="U307"/>
  <c r="U308"/>
  <c r="U309"/>
  <c r="U310"/>
  <c r="U311"/>
  <c r="U312"/>
  <c r="U313"/>
  <c r="U314"/>
  <c r="U315"/>
  <c r="U316"/>
  <c r="U317"/>
  <c r="U318"/>
  <c r="U319"/>
  <c r="U320"/>
  <c r="U321"/>
  <c r="U6"/>
  <c r="U7"/>
  <c r="U8"/>
  <c r="U9"/>
  <c r="U10"/>
  <c r="U11"/>
  <c r="U12"/>
  <c r="U13"/>
  <c r="U14"/>
  <c r="U15"/>
  <c r="U16"/>
  <c r="U17"/>
  <c r="U18"/>
  <c r="U19"/>
  <c r="U20"/>
  <c r="U21"/>
  <c r="U22"/>
  <c r="U23"/>
  <c r="U24"/>
  <c r="U25"/>
  <c r="U26"/>
  <c r="U27"/>
  <c r="U28"/>
  <c r="U29"/>
  <c r="U30"/>
  <c r="U31"/>
  <c r="U32"/>
  <c r="U33"/>
  <c r="U34"/>
  <c r="U35"/>
  <c r="U36"/>
  <c r="U37"/>
  <c r="U38"/>
  <c r="U39"/>
  <c r="U40"/>
  <c r="U41"/>
  <c r="U42"/>
  <c r="U43"/>
  <c r="U44"/>
  <c r="U45"/>
  <c r="U46"/>
  <c r="U47"/>
  <c r="U48"/>
  <c r="U49"/>
  <c r="U50"/>
  <c r="U51"/>
  <c r="U52"/>
  <c r="U53"/>
  <c r="U54"/>
  <c r="U55"/>
  <c r="U56"/>
  <c r="U57"/>
  <c r="U58"/>
  <c r="U59"/>
  <c r="U60"/>
  <c r="U61"/>
  <c r="U62"/>
  <c r="U63"/>
  <c r="U64"/>
  <c r="U65"/>
  <c r="U66"/>
  <c r="U67"/>
  <c r="U68"/>
  <c r="U69"/>
  <c r="U70"/>
  <c r="U71"/>
  <c r="U72"/>
  <c r="U73"/>
  <c r="U74"/>
  <c r="U75"/>
  <c r="U76"/>
  <c r="U77"/>
  <c r="U78"/>
  <c r="U79"/>
  <c r="U80"/>
  <c r="U81"/>
  <c r="U82"/>
  <c r="U83"/>
  <c r="U84"/>
  <c r="U85"/>
  <c r="U86"/>
  <c r="U87"/>
  <c r="U88"/>
  <c r="U89"/>
  <c r="U90"/>
  <c r="U91"/>
  <c r="U92"/>
  <c r="U93"/>
  <c r="U94"/>
  <c r="U95"/>
  <c r="U96"/>
  <c r="U97"/>
  <c r="U98"/>
  <c r="U99"/>
  <c r="U100"/>
  <c r="U101"/>
  <c r="U102"/>
  <c r="U103"/>
  <c r="U104"/>
  <c r="U105"/>
  <c r="U106"/>
  <c r="U107"/>
  <c r="U108"/>
  <c r="U109"/>
  <c r="U110"/>
  <c r="U111"/>
  <c r="U112"/>
  <c r="U113"/>
  <c r="U114"/>
  <c r="U115"/>
  <c r="U116"/>
  <c r="U117"/>
  <c r="U118"/>
  <c r="U119"/>
  <c r="U120"/>
  <c r="U121"/>
  <c r="U122"/>
  <c r="U123"/>
  <c r="U124"/>
  <c r="U125"/>
  <c r="U126"/>
  <c r="U127"/>
  <c r="U128"/>
  <c r="U129"/>
  <c r="U130"/>
  <c r="U131"/>
  <c r="U132"/>
  <c r="U133"/>
  <c r="U134"/>
  <c r="U135"/>
  <c r="U136"/>
  <c r="U137"/>
  <c r="U138"/>
  <c r="U139"/>
  <c r="U140"/>
  <c r="U141"/>
  <c r="U142"/>
  <c r="U143"/>
  <c r="U144"/>
  <c r="U145"/>
  <c r="U146"/>
  <c r="U147"/>
  <c r="U148"/>
  <c r="U149"/>
  <c r="U150"/>
  <c r="U151"/>
  <c r="U152"/>
  <c r="U153"/>
  <c r="U154"/>
  <c r="U155"/>
  <c r="U156"/>
  <c r="U157"/>
  <c r="U158"/>
  <c r="U159"/>
  <c r="U160"/>
  <c r="U161"/>
  <c r="U162"/>
  <c r="U163"/>
  <c r="U164"/>
  <c r="U165"/>
  <c r="U166"/>
  <c r="U167"/>
  <c r="U168"/>
  <c r="U169"/>
  <c r="U170"/>
  <c r="U171"/>
  <c r="U172"/>
  <c r="U173"/>
  <c r="U174"/>
  <c r="U175"/>
  <c r="U176"/>
  <c r="U177"/>
  <c r="U178"/>
  <c r="U179"/>
  <c r="U180"/>
  <c r="U181"/>
  <c r="U182"/>
  <c r="U183"/>
  <c r="U184"/>
  <c r="U185"/>
  <c r="U186"/>
  <c r="U187"/>
  <c r="U188"/>
  <c r="U189"/>
  <c r="U190"/>
  <c r="U191"/>
  <c r="U192"/>
  <c r="U193"/>
  <c r="U194"/>
  <c r="U195"/>
  <c r="U196"/>
  <c r="U197"/>
  <c r="U198"/>
  <c r="U199"/>
  <c r="U200"/>
  <c r="U201"/>
  <c r="U202"/>
  <c r="U203"/>
  <c r="U204"/>
  <c r="U205"/>
  <c r="U206"/>
  <c r="U207"/>
  <c r="U208"/>
  <c r="U209"/>
  <c r="U210"/>
  <c r="U211"/>
  <c r="U212"/>
  <c r="U213"/>
  <c r="U214"/>
  <c r="U215"/>
  <c r="U216"/>
  <c r="U217"/>
  <c r="U218"/>
  <c r="U219"/>
  <c r="U220"/>
  <c r="U221"/>
  <c r="U222"/>
  <c r="U223"/>
  <c r="U224"/>
  <c r="U225"/>
  <c r="U226"/>
  <c r="U227"/>
  <c r="U228"/>
  <c r="U229"/>
  <c r="U230"/>
  <c r="U231"/>
  <c r="U232"/>
  <c r="U233"/>
  <c r="U234"/>
  <c r="U235"/>
  <c r="U236"/>
  <c r="U237"/>
  <c r="U238"/>
  <c r="U239"/>
  <c r="U240"/>
  <c r="U241"/>
  <c r="U242"/>
  <c r="U243"/>
  <c r="U244"/>
  <c r="U245"/>
  <c r="U246"/>
  <c r="U247"/>
  <c r="U248"/>
  <c r="U249"/>
  <c r="U250"/>
  <c r="U251"/>
  <c r="U252"/>
  <c r="U253"/>
  <c r="U254"/>
  <c r="U255"/>
  <c r="U256"/>
  <c r="U257"/>
  <c r="U258"/>
  <c r="U259"/>
  <c r="U260"/>
  <c r="U261"/>
  <c r="U262"/>
  <c r="U263"/>
  <c r="U264"/>
  <c r="U265"/>
  <c r="U266"/>
  <c r="U267"/>
  <c r="U268"/>
  <c r="U269"/>
  <c r="U270"/>
  <c r="U271"/>
  <c r="U272"/>
  <c r="U273"/>
  <c r="U274"/>
  <c r="U275"/>
  <c r="U276"/>
  <c r="U3"/>
  <c r="U4"/>
  <c r="V4" s="1"/>
  <c r="U5"/>
  <c r="U2"/>
  <c r="V5"/>
  <c r="V12"/>
  <c r="V16"/>
  <c r="V6"/>
  <c r="V8"/>
  <c r="V9"/>
  <c r="V10"/>
  <c r="V13"/>
  <c r="V14"/>
  <c r="V17"/>
  <c r="V18"/>
  <c r="V20"/>
  <c r="V21"/>
  <c r="V22"/>
  <c r="V24"/>
  <c r="V25"/>
  <c r="V26"/>
  <c r="V28"/>
  <c r="V29"/>
  <c r="V30"/>
  <c r="D323" i="11"/>
  <c r="C322"/>
  <c r="D322"/>
  <c r="V3" i="3"/>
  <c r="V7"/>
  <c r="V11"/>
  <c r="V15"/>
  <c r="V19"/>
  <c r="V23"/>
  <c r="V27"/>
  <c r="V31"/>
  <c r="V32"/>
  <c r="V33"/>
  <c r="V34"/>
  <c r="V35"/>
  <c r="V36"/>
  <c r="V37"/>
  <c r="V38"/>
  <c r="V39"/>
  <c r="V40"/>
  <c r="V41"/>
  <c r="V42"/>
  <c r="V43"/>
  <c r="V44"/>
  <c r="V45"/>
  <c r="V46"/>
  <c r="V47"/>
  <c r="V48"/>
  <c r="V49"/>
  <c r="V50"/>
  <c r="V51"/>
  <c r="V52"/>
  <c r="V53"/>
  <c r="V54"/>
  <c r="V55"/>
  <c r="V56"/>
  <c r="V57"/>
  <c r="V58"/>
  <c r="V59"/>
  <c r="V60"/>
  <c r="V61"/>
  <c r="V62"/>
  <c r="V63"/>
  <c r="V64"/>
  <c r="V65"/>
  <c r="V66"/>
  <c r="V67"/>
  <c r="V68"/>
  <c r="V69"/>
  <c r="V70"/>
  <c r="V71"/>
  <c r="V72"/>
  <c r="V73"/>
  <c r="V74"/>
  <c r="V75"/>
  <c r="V76"/>
  <c r="V77"/>
  <c r="V78"/>
  <c r="V79"/>
  <c r="V80"/>
  <c r="V81"/>
  <c r="V82"/>
  <c r="V83"/>
  <c r="V84"/>
  <c r="V85"/>
  <c r="V86"/>
  <c r="V87"/>
  <c r="V88"/>
  <c r="V89"/>
  <c r="V90"/>
  <c r="V91"/>
  <c r="V92"/>
  <c r="V93"/>
  <c r="V94"/>
  <c r="V95"/>
  <c r="V96"/>
  <c r="V97"/>
  <c r="V98"/>
  <c r="V99"/>
  <c r="V100"/>
  <c r="V101"/>
  <c r="V102"/>
  <c r="V103"/>
  <c r="V104"/>
  <c r="V105"/>
  <c r="V106"/>
  <c r="V107"/>
  <c r="V108"/>
  <c r="V109"/>
  <c r="V110"/>
  <c r="V111"/>
  <c r="V112"/>
  <c r="V113"/>
  <c r="V114"/>
  <c r="V115"/>
  <c r="V116"/>
  <c r="V117"/>
  <c r="V118"/>
  <c r="V119"/>
  <c r="V120"/>
  <c r="V121"/>
  <c r="V122"/>
  <c r="V123"/>
  <c r="V124"/>
  <c r="V125"/>
  <c r="V126"/>
  <c r="V127"/>
  <c r="V128"/>
  <c r="V129"/>
  <c r="V130"/>
  <c r="V131"/>
  <c r="V132"/>
  <c r="V133"/>
  <c r="V134"/>
  <c r="V135"/>
  <c r="V136"/>
  <c r="V137"/>
  <c r="V138"/>
  <c r="V139"/>
  <c r="V140"/>
  <c r="V141"/>
  <c r="V142"/>
  <c r="V143"/>
  <c r="V144"/>
  <c r="V145"/>
  <c r="V146"/>
  <c r="V147"/>
  <c r="V148"/>
  <c r="V149"/>
  <c r="V150"/>
  <c r="V151"/>
  <c r="V152"/>
  <c r="V153"/>
  <c r="V154"/>
  <c r="V155"/>
  <c r="V156"/>
  <c r="V157"/>
  <c r="V158"/>
  <c r="V159"/>
  <c r="V160"/>
  <c r="V161"/>
  <c r="V162"/>
  <c r="V163"/>
  <c r="V164"/>
  <c r="V165"/>
  <c r="V166"/>
  <c r="V167"/>
  <c r="V168"/>
  <c r="V169"/>
  <c r="V170"/>
  <c r="V171"/>
  <c r="V172"/>
  <c r="V173"/>
  <c r="V174"/>
  <c r="V175"/>
  <c r="V176"/>
  <c r="V177"/>
  <c r="V178"/>
  <c r="V179"/>
  <c r="V180"/>
  <c r="V181"/>
  <c r="V182"/>
  <c r="V183"/>
  <c r="V184"/>
  <c r="V185"/>
  <c r="V186"/>
  <c r="V187"/>
  <c r="V188"/>
  <c r="V189"/>
  <c r="V190"/>
  <c r="V191"/>
  <c r="V192"/>
  <c r="V193"/>
  <c r="V194"/>
  <c r="V195"/>
  <c r="V196"/>
  <c r="V197"/>
  <c r="V198"/>
  <c r="V199"/>
  <c r="V200"/>
  <c r="V201"/>
  <c r="V202"/>
  <c r="V203"/>
  <c r="V204"/>
  <c r="V205"/>
  <c r="V206"/>
  <c r="V207"/>
  <c r="V208"/>
  <c r="V209"/>
  <c r="V210"/>
  <c r="V211"/>
  <c r="V212"/>
  <c r="V213"/>
  <c r="V214"/>
  <c r="V215"/>
  <c r="V216"/>
  <c r="V217"/>
  <c r="V218"/>
  <c r="V219"/>
  <c r="V220"/>
  <c r="V221"/>
  <c r="V222"/>
  <c r="V223"/>
  <c r="V224"/>
  <c r="V225"/>
  <c r="V226"/>
  <c r="V227"/>
  <c r="V228"/>
  <c r="V229"/>
  <c r="V230"/>
  <c r="V231"/>
  <c r="V232"/>
  <c r="V233"/>
  <c r="V234"/>
  <c r="V235"/>
  <c r="V236"/>
  <c r="V237"/>
  <c r="V238"/>
  <c r="V239"/>
  <c r="V240"/>
  <c r="V241"/>
  <c r="V242"/>
  <c r="V243"/>
  <c r="V244"/>
  <c r="V245"/>
  <c r="V246"/>
  <c r="V247"/>
  <c r="V248"/>
  <c r="V249"/>
  <c r="V250"/>
  <c r="V251"/>
  <c r="V252"/>
  <c r="V253"/>
  <c r="V254"/>
  <c r="V255"/>
  <c r="V256"/>
  <c r="V257"/>
  <c r="V258"/>
  <c r="V259"/>
  <c r="V260"/>
  <c r="V261"/>
  <c r="V262"/>
  <c r="V263"/>
  <c r="V264"/>
  <c r="V265"/>
  <c r="V266"/>
  <c r="V267"/>
  <c r="V268"/>
  <c r="V269"/>
  <c r="V270"/>
  <c r="V271"/>
  <c r="V272"/>
  <c r="V273"/>
  <c r="V274"/>
  <c r="V275"/>
  <c r="V276"/>
  <c r="V277"/>
  <c r="V278"/>
  <c r="V279"/>
  <c r="V280"/>
  <c r="V281"/>
  <c r="V282"/>
  <c r="V283"/>
  <c r="V284"/>
  <c r="V285"/>
  <c r="V286"/>
  <c r="V287"/>
  <c r="V288"/>
  <c r="V289"/>
  <c r="V290"/>
  <c r="V291"/>
  <c r="V292"/>
  <c r="V293"/>
  <c r="V294"/>
  <c r="V295"/>
  <c r="V296"/>
  <c r="V297"/>
  <c r="V298"/>
  <c r="V299"/>
  <c r="V300"/>
  <c r="V301"/>
  <c r="V302"/>
  <c r="V303"/>
  <c r="V304"/>
  <c r="V305"/>
  <c r="V306"/>
  <c r="V307"/>
  <c r="V308"/>
  <c r="V309"/>
  <c r="V310"/>
  <c r="V311"/>
  <c r="V312"/>
  <c r="V313"/>
  <c r="V314"/>
  <c r="V315"/>
  <c r="V316"/>
  <c r="V317"/>
  <c r="V318"/>
  <c r="V319"/>
  <c r="V320"/>
  <c r="V321"/>
  <c r="V2"/>
  <c r="R321"/>
  <c r="Q321"/>
  <c r="P321"/>
  <c r="O321"/>
  <c r="N321"/>
  <c r="M321"/>
  <c r="R320"/>
  <c r="Q320"/>
  <c r="P320"/>
  <c r="O320"/>
  <c r="N320"/>
  <c r="M320"/>
  <c r="R319"/>
  <c r="Q319"/>
  <c r="P319"/>
  <c r="O319"/>
  <c r="N319"/>
  <c r="M319"/>
  <c r="R318"/>
  <c r="Q318"/>
  <c r="P318"/>
  <c r="O318"/>
  <c r="N318"/>
  <c r="M318"/>
  <c r="R317"/>
  <c r="Q317"/>
  <c r="P317"/>
  <c r="O317"/>
  <c r="N317"/>
  <c r="M317"/>
  <c r="R316"/>
  <c r="Q316"/>
  <c r="P316"/>
  <c r="O316"/>
  <c r="N316"/>
  <c r="M316"/>
  <c r="R315"/>
  <c r="Q315"/>
  <c r="P315"/>
  <c r="O315"/>
  <c r="N315"/>
  <c r="M315"/>
  <c r="R314"/>
  <c r="Q314"/>
  <c r="P314"/>
  <c r="O314"/>
  <c r="N314"/>
  <c r="M314"/>
  <c r="R313"/>
  <c r="Q313"/>
  <c r="P313"/>
  <c r="O313"/>
  <c r="N313"/>
  <c r="M313"/>
  <c r="R312"/>
  <c r="Q312"/>
  <c r="P312"/>
  <c r="O312"/>
  <c r="N312"/>
  <c r="M312"/>
  <c r="R311"/>
  <c r="Q311"/>
  <c r="P311"/>
  <c r="O311"/>
  <c r="N311"/>
  <c r="M311"/>
  <c r="R310"/>
  <c r="Q310"/>
  <c r="P310"/>
  <c r="O310"/>
  <c r="N310"/>
  <c r="M310"/>
  <c r="R309"/>
  <c r="Q309"/>
  <c r="P309"/>
  <c r="O309"/>
  <c r="N309"/>
  <c r="M309"/>
  <c r="R308"/>
  <c r="Q308"/>
  <c r="P308"/>
  <c r="O308"/>
  <c r="N308"/>
  <c r="M308"/>
  <c r="R307"/>
  <c r="Q307"/>
  <c r="P307"/>
  <c r="O307"/>
  <c r="N307"/>
  <c r="M307"/>
  <c r="R306"/>
  <c r="Q306"/>
  <c r="P306"/>
  <c r="O306"/>
  <c r="N306"/>
  <c r="M306"/>
  <c r="R305"/>
  <c r="Q305"/>
  <c r="P305"/>
  <c r="O305"/>
  <c r="N305"/>
  <c r="M305"/>
  <c r="R304"/>
  <c r="Q304"/>
  <c r="P304"/>
  <c r="O304"/>
  <c r="N304"/>
  <c r="M304"/>
  <c r="R303"/>
  <c r="Q303"/>
  <c r="P303"/>
  <c r="O303"/>
  <c r="N303"/>
  <c r="M303"/>
  <c r="R302"/>
  <c r="Q302"/>
  <c r="P302"/>
  <c r="O302"/>
  <c r="N302"/>
  <c r="M302"/>
  <c r="R301"/>
  <c r="Q301"/>
  <c r="P301"/>
  <c r="O301"/>
  <c r="N301"/>
  <c r="M301"/>
  <c r="R300"/>
  <c r="Q300"/>
  <c r="P300"/>
  <c r="O300"/>
  <c r="N300"/>
  <c r="M300"/>
  <c r="R299"/>
  <c r="Q299"/>
  <c r="P299"/>
  <c r="O299"/>
  <c r="N299"/>
  <c r="M299"/>
  <c r="R298"/>
  <c r="Q298"/>
  <c r="P298"/>
  <c r="O298"/>
  <c r="N298"/>
  <c r="M298"/>
  <c r="R297"/>
  <c r="Q297"/>
  <c r="P297"/>
  <c r="O297"/>
  <c r="N297"/>
  <c r="M297"/>
  <c r="R296"/>
  <c r="Q296"/>
  <c r="P296"/>
  <c r="O296"/>
  <c r="N296"/>
  <c r="M296"/>
  <c r="R295"/>
  <c r="Q295"/>
  <c r="P295"/>
  <c r="O295"/>
  <c r="N295"/>
  <c r="M295"/>
  <c r="R294"/>
  <c r="Q294"/>
  <c r="P294"/>
  <c r="O294"/>
  <c r="N294"/>
  <c r="M294"/>
  <c r="R293"/>
  <c r="Q293"/>
  <c r="P293"/>
  <c r="O293"/>
  <c r="N293"/>
  <c r="M293"/>
  <c r="R292"/>
  <c r="Q292"/>
  <c r="P292"/>
  <c r="O292"/>
  <c r="N292"/>
  <c r="M292"/>
  <c r="R291"/>
  <c r="Q291"/>
  <c r="P291"/>
  <c r="O291"/>
  <c r="N291"/>
  <c r="M291"/>
  <c r="R290"/>
  <c r="Q290"/>
  <c r="P290"/>
  <c r="O290"/>
  <c r="N290"/>
  <c r="M290"/>
  <c r="R289"/>
  <c r="Q289"/>
  <c r="P289"/>
  <c r="O289"/>
  <c r="N289"/>
  <c r="M289"/>
  <c r="R288"/>
  <c r="Q288"/>
  <c r="P288"/>
  <c r="O288"/>
  <c r="N288"/>
  <c r="M288"/>
  <c r="R287"/>
  <c r="Q287"/>
  <c r="P287"/>
  <c r="O287"/>
  <c r="N287"/>
  <c r="M287"/>
  <c r="R286"/>
  <c r="Q286"/>
  <c r="P286"/>
  <c r="O286"/>
  <c r="N286"/>
  <c r="M286"/>
  <c r="R285"/>
  <c r="Q285"/>
  <c r="P285"/>
  <c r="O285"/>
  <c r="N285"/>
  <c r="M285"/>
  <c r="R284"/>
  <c r="Q284"/>
  <c r="P284"/>
  <c r="O284"/>
  <c r="N284"/>
  <c r="M284"/>
  <c r="R283"/>
  <c r="Q283"/>
  <c r="P283"/>
  <c r="O283"/>
  <c r="N283"/>
  <c r="M283"/>
  <c r="R282"/>
  <c r="Q282"/>
  <c r="P282"/>
  <c r="O282"/>
  <c r="N282"/>
  <c r="M282"/>
  <c r="R281"/>
  <c r="Q281"/>
  <c r="P281"/>
  <c r="O281"/>
  <c r="N281"/>
  <c r="M281"/>
  <c r="R280"/>
  <c r="Q280"/>
  <c r="P280"/>
  <c r="O280"/>
  <c r="N280"/>
  <c r="M280"/>
  <c r="R279"/>
  <c r="Q279"/>
  <c r="P279"/>
  <c r="O279"/>
  <c r="N279"/>
  <c r="M279"/>
  <c r="R278"/>
  <c r="Q278"/>
  <c r="P278"/>
  <c r="O278"/>
  <c r="N278"/>
  <c r="M278"/>
  <c r="R277"/>
  <c r="Q277"/>
  <c r="P277"/>
  <c r="O277"/>
  <c r="N277"/>
  <c r="M277"/>
  <c r="R276"/>
  <c r="Q276"/>
  <c r="P276"/>
  <c r="O276"/>
  <c r="N276"/>
  <c r="M276"/>
  <c r="R275"/>
  <c r="Q275"/>
  <c r="P275"/>
  <c r="O275"/>
  <c r="N275"/>
  <c r="M275"/>
  <c r="R274"/>
  <c r="Q274"/>
  <c r="P274"/>
  <c r="O274"/>
  <c r="N274"/>
  <c r="M274"/>
  <c r="R273"/>
  <c r="Q273"/>
  <c r="P273"/>
  <c r="O273"/>
  <c r="N273"/>
  <c r="M273"/>
  <c r="R272"/>
  <c r="Q272"/>
  <c r="P272"/>
  <c r="O272"/>
  <c r="N272"/>
  <c r="M272"/>
  <c r="R271"/>
  <c r="Q271"/>
  <c r="P271"/>
  <c r="O271"/>
  <c r="N271"/>
  <c r="M271"/>
  <c r="R270"/>
  <c r="Q270"/>
  <c r="P270"/>
  <c r="O270"/>
  <c r="N270"/>
  <c r="M270"/>
  <c r="R269"/>
  <c r="Q269"/>
  <c r="P269"/>
  <c r="O269"/>
  <c r="N269"/>
  <c r="M269"/>
  <c r="R268"/>
  <c r="Q268"/>
  <c r="P268"/>
  <c r="O268"/>
  <c r="N268"/>
  <c r="M268"/>
  <c r="R267"/>
  <c r="Q267"/>
  <c r="P267"/>
  <c r="O267"/>
  <c r="N267"/>
  <c r="M267"/>
  <c r="R266"/>
  <c r="Q266"/>
  <c r="P266"/>
  <c r="O266"/>
  <c r="N266"/>
  <c r="M266"/>
  <c r="R265"/>
  <c r="Q265"/>
  <c r="P265"/>
  <c r="O265"/>
  <c r="N265"/>
  <c r="M265"/>
  <c r="R264"/>
  <c r="Q264"/>
  <c r="P264"/>
  <c r="O264"/>
  <c r="N264"/>
  <c r="M264"/>
  <c r="R263"/>
  <c r="Q263"/>
  <c r="P263"/>
  <c r="O263"/>
  <c r="N263"/>
  <c r="M263"/>
  <c r="R262"/>
  <c r="Q262"/>
  <c r="P262"/>
  <c r="O262"/>
  <c r="N262"/>
  <c r="M262"/>
  <c r="R261"/>
  <c r="Q261"/>
  <c r="P261"/>
  <c r="O261"/>
  <c r="N261"/>
  <c r="M261"/>
  <c r="R260"/>
  <c r="Q260"/>
  <c r="P260"/>
  <c r="O260"/>
  <c r="N260"/>
  <c r="M260"/>
  <c r="R259"/>
  <c r="Q259"/>
  <c r="P259"/>
  <c r="O259"/>
  <c r="N259"/>
  <c r="M259"/>
  <c r="R258"/>
  <c r="Q258"/>
  <c r="P258"/>
  <c r="O258"/>
  <c r="N258"/>
  <c r="M258"/>
  <c r="R257"/>
  <c r="Q257"/>
  <c r="P257"/>
  <c r="O257"/>
  <c r="N257"/>
  <c r="M257"/>
  <c r="R256"/>
  <c r="Q256"/>
  <c r="P256"/>
  <c r="O256"/>
  <c r="N256"/>
  <c r="M256"/>
  <c r="R255"/>
  <c r="Q255"/>
  <c r="P255"/>
  <c r="O255"/>
  <c r="N255"/>
  <c r="M255"/>
  <c r="R254"/>
  <c r="Q254"/>
  <c r="P254"/>
  <c r="O254"/>
  <c r="N254"/>
  <c r="M254"/>
  <c r="R253"/>
  <c r="Q253"/>
  <c r="P253"/>
  <c r="O253"/>
  <c r="N253"/>
  <c r="M253"/>
  <c r="R252"/>
  <c r="Q252"/>
  <c r="P252"/>
  <c r="O252"/>
  <c r="N252"/>
  <c r="M252"/>
  <c r="R251"/>
  <c r="Q251"/>
  <c r="P251"/>
  <c r="O251"/>
  <c r="N251"/>
  <c r="M251"/>
  <c r="R250"/>
  <c r="Q250"/>
  <c r="P250"/>
  <c r="O250"/>
  <c r="N250"/>
  <c r="M250"/>
  <c r="R249"/>
  <c r="Q249"/>
  <c r="P249"/>
  <c r="O249"/>
  <c r="N249"/>
  <c r="M249"/>
  <c r="R248"/>
  <c r="Q248"/>
  <c r="P248"/>
  <c r="O248"/>
  <c r="N248"/>
  <c r="M248"/>
  <c r="R247"/>
  <c r="Q247"/>
  <c r="P247"/>
  <c r="O247"/>
  <c r="N247"/>
  <c r="M247"/>
  <c r="R246"/>
  <c r="Q246"/>
  <c r="P246"/>
  <c r="O246"/>
  <c r="N246"/>
  <c r="M246"/>
  <c r="R245"/>
  <c r="Q245"/>
  <c r="P245"/>
  <c r="O245"/>
  <c r="N245"/>
  <c r="M245"/>
  <c r="R244"/>
  <c r="Q244"/>
  <c r="P244"/>
  <c r="O244"/>
  <c r="N244"/>
  <c r="M244"/>
  <c r="R243"/>
  <c r="Q243"/>
  <c r="P243"/>
  <c r="O243"/>
  <c r="N243"/>
  <c r="M243"/>
  <c r="R242"/>
  <c r="Q242"/>
  <c r="P242"/>
  <c r="O242"/>
  <c r="N242"/>
  <c r="M242"/>
  <c r="R241"/>
  <c r="Q241"/>
  <c r="P241"/>
  <c r="O241"/>
  <c r="N241"/>
  <c r="M241"/>
  <c r="R240"/>
  <c r="Q240"/>
  <c r="P240"/>
  <c r="O240"/>
  <c r="N240"/>
  <c r="M240"/>
  <c r="R239"/>
  <c r="Q239"/>
  <c r="P239"/>
  <c r="O239"/>
  <c r="N239"/>
  <c r="M239"/>
  <c r="R238"/>
  <c r="Q238"/>
  <c r="P238"/>
  <c r="O238"/>
  <c r="N238"/>
  <c r="M238"/>
  <c r="R237"/>
  <c r="Q237"/>
  <c r="P237"/>
  <c r="O237"/>
  <c r="N237"/>
  <c r="M237"/>
  <c r="R236"/>
  <c r="Q236"/>
  <c r="P236"/>
  <c r="O236"/>
  <c r="N236"/>
  <c r="M236"/>
  <c r="R235"/>
  <c r="Q235"/>
  <c r="P235"/>
  <c r="O235"/>
  <c r="N235"/>
  <c r="M235"/>
  <c r="R234"/>
  <c r="Q234"/>
  <c r="P234"/>
  <c r="O234"/>
  <c r="N234"/>
  <c r="M234"/>
  <c r="R233"/>
  <c r="Q233"/>
  <c r="P233"/>
  <c r="O233"/>
  <c r="N233"/>
  <c r="M233"/>
  <c r="R232"/>
  <c r="Q232"/>
  <c r="P232"/>
  <c r="O232"/>
  <c r="N232"/>
  <c r="M232"/>
  <c r="R231"/>
  <c r="Q231"/>
  <c r="P231"/>
  <c r="O231"/>
  <c r="N231"/>
  <c r="M231"/>
  <c r="R230"/>
  <c r="Q230"/>
  <c r="P230"/>
  <c r="O230"/>
  <c r="N230"/>
  <c r="M230"/>
  <c r="R229"/>
  <c r="Q229"/>
  <c r="P229"/>
  <c r="O229"/>
  <c r="N229"/>
  <c r="M229"/>
  <c r="R228"/>
  <c r="Q228"/>
  <c r="P228"/>
  <c r="O228"/>
  <c r="N228"/>
  <c r="M228"/>
  <c r="R227"/>
  <c r="Q227"/>
  <c r="P227"/>
  <c r="O227"/>
  <c r="N227"/>
  <c r="M227"/>
  <c r="R226"/>
  <c r="Q226"/>
  <c r="P226"/>
  <c r="O226"/>
  <c r="N226"/>
  <c r="M226"/>
  <c r="R225"/>
  <c r="Q225"/>
  <c r="P225"/>
  <c r="O225"/>
  <c r="N225"/>
  <c r="M225"/>
  <c r="R224"/>
  <c r="Q224"/>
  <c r="P224"/>
  <c r="O224"/>
  <c r="N224"/>
  <c r="M224"/>
  <c r="R223"/>
  <c r="Q223"/>
  <c r="P223"/>
  <c r="O223"/>
  <c r="N223"/>
  <c r="M223"/>
  <c r="R222"/>
  <c r="Q222"/>
  <c r="P222"/>
  <c r="O222"/>
  <c r="N222"/>
  <c r="M222"/>
  <c r="R221"/>
  <c r="Q221"/>
  <c r="P221"/>
  <c r="O221"/>
  <c r="N221"/>
  <c r="M221"/>
  <c r="R220"/>
  <c r="Q220"/>
  <c r="P220"/>
  <c r="O220"/>
  <c r="N220"/>
  <c r="M220"/>
  <c r="R219"/>
  <c r="Q219"/>
  <c r="P219"/>
  <c r="O219"/>
  <c r="N219"/>
  <c r="M219"/>
  <c r="R218"/>
  <c r="Q218"/>
  <c r="P218"/>
  <c r="O218"/>
  <c r="N218"/>
  <c r="M218"/>
  <c r="R217"/>
  <c r="Q217"/>
  <c r="P217"/>
  <c r="O217"/>
  <c r="N217"/>
  <c r="M217"/>
  <c r="R216"/>
  <c r="Q216"/>
  <c r="P216"/>
  <c r="O216"/>
  <c r="N216"/>
  <c r="M216"/>
  <c r="R215"/>
  <c r="Q215"/>
  <c r="P215"/>
  <c r="O215"/>
  <c r="N215"/>
  <c r="M215"/>
  <c r="R214"/>
  <c r="Q214"/>
  <c r="P214"/>
  <c r="O214"/>
  <c r="N214"/>
  <c r="M214"/>
  <c r="R213"/>
  <c r="Q213"/>
  <c r="P213"/>
  <c r="O213"/>
  <c r="N213"/>
  <c r="M213"/>
  <c r="R212"/>
  <c r="Q212"/>
  <c r="P212"/>
  <c r="O212"/>
  <c r="N212"/>
  <c r="M212"/>
  <c r="R211"/>
  <c r="Q211"/>
  <c r="P211"/>
  <c r="O211"/>
  <c r="N211"/>
  <c r="M211"/>
  <c r="R210"/>
  <c r="Q210"/>
  <c r="P210"/>
  <c r="O210"/>
  <c r="N210"/>
  <c r="M210"/>
  <c r="R209"/>
  <c r="Q209"/>
  <c r="P209"/>
  <c r="O209"/>
  <c r="N209"/>
  <c r="M209"/>
  <c r="R208"/>
  <c r="Q208"/>
  <c r="P208"/>
  <c r="O208"/>
  <c r="N208"/>
  <c r="M208"/>
  <c r="R207"/>
  <c r="Q207"/>
  <c r="P207"/>
  <c r="O207"/>
  <c r="N207"/>
  <c r="M207"/>
  <c r="R206"/>
  <c r="Q206"/>
  <c r="P206"/>
  <c r="O206"/>
  <c r="N206"/>
  <c r="M206"/>
  <c r="R205"/>
  <c r="Q205"/>
  <c r="P205"/>
  <c r="O205"/>
  <c r="N205"/>
  <c r="M205"/>
  <c r="R204"/>
  <c r="Q204"/>
  <c r="P204"/>
  <c r="O204"/>
  <c r="N204"/>
  <c r="M204"/>
  <c r="R203"/>
  <c r="Q203"/>
  <c r="P203"/>
  <c r="O203"/>
  <c r="N203"/>
  <c r="M203"/>
  <c r="R202"/>
  <c r="Q202"/>
  <c r="P202"/>
  <c r="O202"/>
  <c r="N202"/>
  <c r="M202"/>
  <c r="R201"/>
  <c r="Q201"/>
  <c r="P201"/>
  <c r="O201"/>
  <c r="N201"/>
  <c r="M201"/>
  <c r="R200"/>
  <c r="Q200"/>
  <c r="P200"/>
  <c r="O200"/>
  <c r="N200"/>
  <c r="M200"/>
  <c r="R199"/>
  <c r="Q199"/>
  <c r="P199"/>
  <c r="O199"/>
  <c r="N199"/>
  <c r="M199"/>
  <c r="R198"/>
  <c r="Q198"/>
  <c r="P198"/>
  <c r="O198"/>
  <c r="N198"/>
  <c r="M198"/>
  <c r="R197"/>
  <c r="Q197"/>
  <c r="P197"/>
  <c r="O197"/>
  <c r="N197"/>
  <c r="M197"/>
  <c r="R196"/>
  <c r="Q196"/>
  <c r="P196"/>
  <c r="O196"/>
  <c r="N196"/>
  <c r="M196"/>
  <c r="R195"/>
  <c r="Q195"/>
  <c r="P195"/>
  <c r="O195"/>
  <c r="N195"/>
  <c r="M195"/>
  <c r="R194"/>
  <c r="Q194"/>
  <c r="P194"/>
  <c r="O194"/>
  <c r="N194"/>
  <c r="M194"/>
  <c r="R193"/>
  <c r="Q193"/>
  <c r="P193"/>
  <c r="O193"/>
  <c r="N193"/>
  <c r="M193"/>
  <c r="R192"/>
  <c r="Q192"/>
  <c r="P192"/>
  <c r="O192"/>
  <c r="N192"/>
  <c r="M192"/>
  <c r="R191"/>
  <c r="Q191"/>
  <c r="P191"/>
  <c r="O191"/>
  <c r="N191"/>
  <c r="M191"/>
  <c r="R190"/>
  <c r="Q190"/>
  <c r="P190"/>
  <c r="O190"/>
  <c r="N190"/>
  <c r="M190"/>
  <c r="R189"/>
  <c r="Q189"/>
  <c r="P189"/>
  <c r="O189"/>
  <c r="N189"/>
  <c r="M189"/>
  <c r="R188"/>
  <c r="Q188"/>
  <c r="P188"/>
  <c r="O188"/>
  <c r="N188"/>
  <c r="M188"/>
  <c r="R187"/>
  <c r="Q187"/>
  <c r="P187"/>
  <c r="O187"/>
  <c r="N187"/>
  <c r="M187"/>
  <c r="R186"/>
  <c r="Q186"/>
  <c r="P186"/>
  <c r="O186"/>
  <c r="N186"/>
  <c r="M186"/>
  <c r="R185"/>
  <c r="Q185"/>
  <c r="P185"/>
  <c r="O185"/>
  <c r="N185"/>
  <c r="M185"/>
  <c r="R184"/>
  <c r="Q184"/>
  <c r="P184"/>
  <c r="O184"/>
  <c r="N184"/>
  <c r="M184"/>
  <c r="R183"/>
  <c r="Q183"/>
  <c r="P183"/>
  <c r="O183"/>
  <c r="N183"/>
  <c r="M183"/>
  <c r="R182"/>
  <c r="Q182"/>
  <c r="P182"/>
  <c r="O182"/>
  <c r="N182"/>
  <c r="M182"/>
  <c r="R181"/>
  <c r="Q181"/>
  <c r="P181"/>
  <c r="O181"/>
  <c r="N181"/>
  <c r="M181"/>
  <c r="R180"/>
  <c r="Q180"/>
  <c r="P180"/>
  <c r="O180"/>
  <c r="N180"/>
  <c r="M180"/>
  <c r="R179"/>
  <c r="Q179"/>
  <c r="P179"/>
  <c r="O179"/>
  <c r="N179"/>
  <c r="M179"/>
  <c r="R178"/>
  <c r="Q178"/>
  <c r="P178"/>
  <c r="O178"/>
  <c r="N178"/>
  <c r="M178"/>
  <c r="R177"/>
  <c r="Q177"/>
  <c r="P177"/>
  <c r="O177"/>
  <c r="N177"/>
  <c r="M177"/>
  <c r="R176"/>
  <c r="Q176"/>
  <c r="P176"/>
  <c r="O176"/>
  <c r="N176"/>
  <c r="M176"/>
  <c r="R175"/>
  <c r="Q175"/>
  <c r="P175"/>
  <c r="O175"/>
  <c r="N175"/>
  <c r="M175"/>
  <c r="R174"/>
  <c r="Q174"/>
  <c r="P174"/>
  <c r="O174"/>
  <c r="N174"/>
  <c r="M174"/>
  <c r="R173"/>
  <c r="Q173"/>
  <c r="P173"/>
  <c r="O173"/>
  <c r="N173"/>
  <c r="M173"/>
  <c r="R172"/>
  <c r="Q172"/>
  <c r="P172"/>
  <c r="O172"/>
  <c r="N172"/>
  <c r="M172"/>
  <c r="R171"/>
  <c r="Q171"/>
  <c r="P171"/>
  <c r="O171"/>
  <c r="N171"/>
  <c r="M171"/>
  <c r="R170"/>
  <c r="Q170"/>
  <c r="P170"/>
  <c r="O170"/>
  <c r="N170"/>
  <c r="M170"/>
  <c r="R169"/>
  <c r="Q169"/>
  <c r="P169"/>
  <c r="O169"/>
  <c r="N169"/>
  <c r="M169"/>
  <c r="R168"/>
  <c r="Q168"/>
  <c r="P168"/>
  <c r="O168"/>
  <c r="N168"/>
  <c r="M168"/>
  <c r="R167"/>
  <c r="Q167"/>
  <c r="P167"/>
  <c r="O167"/>
  <c r="N167"/>
  <c r="M167"/>
  <c r="R166"/>
  <c r="Q166"/>
  <c r="P166"/>
  <c r="O166"/>
  <c r="N166"/>
  <c r="M166"/>
  <c r="R165"/>
  <c r="Q165"/>
  <c r="P165"/>
  <c r="O165"/>
  <c r="N165"/>
  <c r="M165"/>
  <c r="R164"/>
  <c r="Q164"/>
  <c r="P164"/>
  <c r="O164"/>
  <c r="N164"/>
  <c r="M164"/>
  <c r="R163"/>
  <c r="Q163"/>
  <c r="P163"/>
  <c r="O163"/>
  <c r="N163"/>
  <c r="M163"/>
  <c r="R162"/>
  <c r="Q162"/>
  <c r="P162"/>
  <c r="O162"/>
  <c r="N162"/>
  <c r="M162"/>
  <c r="R161"/>
  <c r="Q161"/>
  <c r="P161"/>
  <c r="O161"/>
  <c r="N161"/>
  <c r="M161"/>
  <c r="R160"/>
  <c r="Q160"/>
  <c r="P160"/>
  <c r="O160"/>
  <c r="N160"/>
  <c r="M160"/>
  <c r="R159"/>
  <c r="Q159"/>
  <c r="P159"/>
  <c r="O159"/>
  <c r="N159"/>
  <c r="M159"/>
  <c r="R158"/>
  <c r="Q158"/>
  <c r="P158"/>
  <c r="O158"/>
  <c r="N158"/>
  <c r="M158"/>
  <c r="R157"/>
  <c r="Q157"/>
  <c r="P157"/>
  <c r="O157"/>
  <c r="N157"/>
  <c r="M157"/>
  <c r="R156"/>
  <c r="Q156"/>
  <c r="P156"/>
  <c r="O156"/>
  <c r="N156"/>
  <c r="M156"/>
  <c r="R155"/>
  <c r="Q155"/>
  <c r="P155"/>
  <c r="O155"/>
  <c r="N155"/>
  <c r="M155"/>
  <c r="R154"/>
  <c r="Q154"/>
  <c r="P154"/>
  <c r="O154"/>
  <c r="N154"/>
  <c r="M154"/>
  <c r="R153"/>
  <c r="Q153"/>
  <c r="P153"/>
  <c r="O153"/>
  <c r="N153"/>
  <c r="M153"/>
  <c r="R152"/>
  <c r="Q152"/>
  <c r="P152"/>
  <c r="O152"/>
  <c r="N152"/>
  <c r="M152"/>
  <c r="R151"/>
  <c r="Q151"/>
  <c r="P151"/>
  <c r="O151"/>
  <c r="N151"/>
  <c r="M151"/>
  <c r="R150"/>
  <c r="Q150"/>
  <c r="P150"/>
  <c r="O150"/>
  <c r="N150"/>
  <c r="M150"/>
  <c r="R149"/>
  <c r="Q149"/>
  <c r="P149"/>
  <c r="O149"/>
  <c r="N149"/>
  <c r="M149"/>
  <c r="R148"/>
  <c r="Q148"/>
  <c r="P148"/>
  <c r="O148"/>
  <c r="N148"/>
  <c r="M148"/>
  <c r="R147"/>
  <c r="Q147"/>
  <c r="P147"/>
  <c r="O147"/>
  <c r="N147"/>
  <c r="M147"/>
  <c r="R146"/>
  <c r="Q146"/>
  <c r="P146"/>
  <c r="O146"/>
  <c r="N146"/>
  <c r="M146"/>
  <c r="R145"/>
  <c r="Q145"/>
  <c r="P145"/>
  <c r="O145"/>
  <c r="N145"/>
  <c r="M145"/>
  <c r="R144"/>
  <c r="Q144"/>
  <c r="P144"/>
  <c r="O144"/>
  <c r="N144"/>
  <c r="M144"/>
  <c r="R143"/>
  <c r="Q143"/>
  <c r="P143"/>
  <c r="O143"/>
  <c r="N143"/>
  <c r="M143"/>
  <c r="R142"/>
  <c r="Q142"/>
  <c r="P142"/>
  <c r="O142"/>
  <c r="N142"/>
  <c r="M142"/>
  <c r="R141"/>
  <c r="Q141"/>
  <c r="P141"/>
  <c r="O141"/>
  <c r="N141"/>
  <c r="M141"/>
  <c r="R140"/>
  <c r="Q140"/>
  <c r="P140"/>
  <c r="O140"/>
  <c r="N140"/>
  <c r="M140"/>
  <c r="R139"/>
  <c r="Q139"/>
  <c r="P139"/>
  <c r="O139"/>
  <c r="N139"/>
  <c r="M139"/>
  <c r="R138"/>
  <c r="Q138"/>
  <c r="P138"/>
  <c r="O138"/>
  <c r="N138"/>
  <c r="M138"/>
  <c r="R137"/>
  <c r="Q137"/>
  <c r="P137"/>
  <c r="O137"/>
  <c r="N137"/>
  <c r="M137"/>
  <c r="R136"/>
  <c r="Q136"/>
  <c r="P136"/>
  <c r="O136"/>
  <c r="N136"/>
  <c r="M136"/>
  <c r="R135"/>
  <c r="Q135"/>
  <c r="P135"/>
  <c r="O135"/>
  <c r="N135"/>
  <c r="M135"/>
  <c r="R134"/>
  <c r="Q134"/>
  <c r="P134"/>
  <c r="O134"/>
  <c r="N134"/>
  <c r="M134"/>
  <c r="R133"/>
  <c r="Q133"/>
  <c r="P133"/>
  <c r="O133"/>
  <c r="N133"/>
  <c r="M133"/>
  <c r="R132"/>
  <c r="Q132"/>
  <c r="P132"/>
  <c r="O132"/>
  <c r="N132"/>
  <c r="M132"/>
  <c r="R131"/>
  <c r="Q131"/>
  <c r="P131"/>
  <c r="O131"/>
  <c r="N131"/>
  <c r="M131"/>
  <c r="R130"/>
  <c r="Q130"/>
  <c r="P130"/>
  <c r="O130"/>
  <c r="N130"/>
  <c r="M130"/>
  <c r="R129"/>
  <c r="Q129"/>
  <c r="P129"/>
  <c r="O129"/>
  <c r="N129"/>
  <c r="M129"/>
  <c r="R128"/>
  <c r="Q128"/>
  <c r="P128"/>
  <c r="O128"/>
  <c r="N128"/>
  <c r="M128"/>
  <c r="R127"/>
  <c r="Q127"/>
  <c r="P127"/>
  <c r="O127"/>
  <c r="N127"/>
  <c r="M127"/>
  <c r="R126"/>
  <c r="Q126"/>
  <c r="P126"/>
  <c r="O126"/>
  <c r="N126"/>
  <c r="M126"/>
  <c r="R125"/>
  <c r="Q125"/>
  <c r="P125"/>
  <c r="O125"/>
  <c r="N125"/>
  <c r="M125"/>
  <c r="R124"/>
  <c r="Q124"/>
  <c r="P124"/>
  <c r="O124"/>
  <c r="N124"/>
  <c r="M124"/>
  <c r="R123"/>
  <c r="Q123"/>
  <c r="P123"/>
  <c r="O123"/>
  <c r="N123"/>
  <c r="M123"/>
  <c r="R122"/>
  <c r="Q122"/>
  <c r="P122"/>
  <c r="O122"/>
  <c r="N122"/>
  <c r="M122"/>
  <c r="R121"/>
  <c r="Q121"/>
  <c r="P121"/>
  <c r="O121"/>
  <c r="N121"/>
  <c r="M121"/>
  <c r="R120"/>
  <c r="Q120"/>
  <c r="P120"/>
  <c r="O120"/>
  <c r="N120"/>
  <c r="M120"/>
  <c r="R119"/>
  <c r="Q119"/>
  <c r="P119"/>
  <c r="O119"/>
  <c r="N119"/>
  <c r="M119"/>
  <c r="R118"/>
  <c r="Q118"/>
  <c r="P118"/>
  <c r="O118"/>
  <c r="N118"/>
  <c r="M118"/>
  <c r="R117"/>
  <c r="Q117"/>
  <c r="P117"/>
  <c r="O117"/>
  <c r="N117"/>
  <c r="M117"/>
  <c r="R116"/>
  <c r="Q116"/>
  <c r="P116"/>
  <c r="O116"/>
  <c r="N116"/>
  <c r="M116"/>
  <c r="R115"/>
  <c r="Q115"/>
  <c r="P115"/>
  <c r="O115"/>
  <c r="N115"/>
  <c r="M115"/>
  <c r="R114"/>
  <c r="Q114"/>
  <c r="P114"/>
  <c r="O114"/>
  <c r="N114"/>
  <c r="M114"/>
  <c r="R113"/>
  <c r="Q113"/>
  <c r="P113"/>
  <c r="O113"/>
  <c r="N113"/>
  <c r="M113"/>
  <c r="R112"/>
  <c r="Q112"/>
  <c r="P112"/>
  <c r="O112"/>
  <c r="N112"/>
  <c r="M112"/>
  <c r="R111"/>
  <c r="Q111"/>
  <c r="P111"/>
  <c r="O111"/>
  <c r="N111"/>
  <c r="M111"/>
  <c r="R110"/>
  <c r="Q110"/>
  <c r="P110"/>
  <c r="O110"/>
  <c r="N110"/>
  <c r="M110"/>
  <c r="R109"/>
  <c r="Q109"/>
  <c r="P109"/>
  <c r="O109"/>
  <c r="N109"/>
  <c r="M109"/>
  <c r="R108"/>
  <c r="Q108"/>
  <c r="P108"/>
  <c r="O108"/>
  <c r="N108"/>
  <c r="M108"/>
  <c r="R107"/>
  <c r="Q107"/>
  <c r="P107"/>
  <c r="O107"/>
  <c r="N107"/>
  <c r="M107"/>
  <c r="R106"/>
  <c r="Q106"/>
  <c r="P106"/>
  <c r="O106"/>
  <c r="N106"/>
  <c r="M106"/>
  <c r="R105"/>
  <c r="Q105"/>
  <c r="P105"/>
  <c r="O105"/>
  <c r="N105"/>
  <c r="M105"/>
  <c r="R104"/>
  <c r="Q104"/>
  <c r="P104"/>
  <c r="O104"/>
  <c r="N104"/>
  <c r="M104"/>
  <c r="R103"/>
  <c r="Q103"/>
  <c r="P103"/>
  <c r="O103"/>
  <c r="N103"/>
  <c r="M103"/>
  <c r="R102"/>
  <c r="Q102"/>
  <c r="P102"/>
  <c r="O102"/>
  <c r="N102"/>
  <c r="M102"/>
  <c r="R101"/>
  <c r="Q101"/>
  <c r="P101"/>
  <c r="O101"/>
  <c r="N101"/>
  <c r="M101"/>
  <c r="R100"/>
  <c r="Q100"/>
  <c r="P100"/>
  <c r="O100"/>
  <c r="N100"/>
  <c r="M100"/>
  <c r="R99"/>
  <c r="Q99"/>
  <c r="P99"/>
  <c r="O99"/>
  <c r="N99"/>
  <c r="M99"/>
  <c r="R98"/>
  <c r="Q98"/>
  <c r="P98"/>
  <c r="O98"/>
  <c r="N98"/>
  <c r="M98"/>
  <c r="R97"/>
  <c r="Q97"/>
  <c r="P97"/>
  <c r="O97"/>
  <c r="N97"/>
  <c r="M97"/>
  <c r="R96"/>
  <c r="Q96"/>
  <c r="P96"/>
  <c r="O96"/>
  <c r="N96"/>
  <c r="M96"/>
  <c r="R95"/>
  <c r="Q95"/>
  <c r="P95"/>
  <c r="O95"/>
  <c r="N95"/>
  <c r="M95"/>
  <c r="R94"/>
  <c r="Q94"/>
  <c r="P94"/>
  <c r="O94"/>
  <c r="N94"/>
  <c r="M94"/>
  <c r="R93"/>
  <c r="Q93"/>
  <c r="P93"/>
  <c r="O93"/>
  <c r="N93"/>
  <c r="M93"/>
  <c r="R92"/>
  <c r="Q92"/>
  <c r="P92"/>
  <c r="O92"/>
  <c r="N92"/>
  <c r="M92"/>
  <c r="R91"/>
  <c r="Q91"/>
  <c r="P91"/>
  <c r="O91"/>
  <c r="N91"/>
  <c r="M91"/>
  <c r="R90"/>
  <c r="Q90"/>
  <c r="P90"/>
  <c r="O90"/>
  <c r="N90"/>
  <c r="M90"/>
  <c r="R89"/>
  <c r="Q89"/>
  <c r="P89"/>
  <c r="O89"/>
  <c r="N89"/>
  <c r="M89"/>
  <c r="R88"/>
  <c r="Q88"/>
  <c r="P88"/>
  <c r="O88"/>
  <c r="N88"/>
  <c r="M88"/>
  <c r="R87"/>
  <c r="Q87"/>
  <c r="P87"/>
  <c r="O87"/>
  <c r="N87"/>
  <c r="M87"/>
  <c r="R86"/>
  <c r="Q86"/>
  <c r="P86"/>
  <c r="O86"/>
  <c r="N86"/>
  <c r="M86"/>
  <c r="R85"/>
  <c r="Q85"/>
  <c r="P85"/>
  <c r="O85"/>
  <c r="N85"/>
  <c r="M85"/>
  <c r="R84"/>
  <c r="Q84"/>
  <c r="P84"/>
  <c r="O84"/>
  <c r="N84"/>
  <c r="M84"/>
  <c r="R83"/>
  <c r="Q83"/>
  <c r="P83"/>
  <c r="O83"/>
  <c r="N83"/>
  <c r="M83"/>
  <c r="R82"/>
  <c r="Q82"/>
  <c r="P82"/>
  <c r="O82"/>
  <c r="N82"/>
  <c r="M82"/>
  <c r="R81"/>
  <c r="Q81"/>
  <c r="P81"/>
  <c r="O81"/>
  <c r="N81"/>
  <c r="M81"/>
  <c r="R80"/>
  <c r="Q80"/>
  <c r="P80"/>
  <c r="O80"/>
  <c r="N80"/>
  <c r="M80"/>
  <c r="R79"/>
  <c r="Q79"/>
  <c r="P79"/>
  <c r="O79"/>
  <c r="N79"/>
  <c r="M79"/>
  <c r="R78"/>
  <c r="Q78"/>
  <c r="P78"/>
  <c r="O78"/>
  <c r="N78"/>
  <c r="M78"/>
  <c r="R77"/>
  <c r="Q77"/>
  <c r="P77"/>
  <c r="O77"/>
  <c r="N77"/>
  <c r="M77"/>
  <c r="R76"/>
  <c r="Q76"/>
  <c r="P76"/>
  <c r="O76"/>
  <c r="N76"/>
  <c r="M76"/>
  <c r="R75"/>
  <c r="Q75"/>
  <c r="P75"/>
  <c r="O75"/>
  <c r="N75"/>
  <c r="M75"/>
  <c r="R74"/>
  <c r="Q74"/>
  <c r="P74"/>
  <c r="O74"/>
  <c r="N74"/>
  <c r="M74"/>
  <c r="R73"/>
  <c r="Q73"/>
  <c r="P73"/>
  <c r="O73"/>
  <c r="N73"/>
  <c r="M73"/>
  <c r="R72"/>
  <c r="Q72"/>
  <c r="P72"/>
  <c r="O72"/>
  <c r="N72"/>
  <c r="M72"/>
  <c r="R71"/>
  <c r="Q71"/>
  <c r="P71"/>
  <c r="O71"/>
  <c r="N71"/>
  <c r="M71"/>
  <c r="R70"/>
  <c r="Q70"/>
  <c r="P70"/>
  <c r="O70"/>
  <c r="N70"/>
  <c r="M70"/>
  <c r="R69"/>
  <c r="Q69"/>
  <c r="P69"/>
  <c r="O69"/>
  <c r="N69"/>
  <c r="M69"/>
  <c r="R68"/>
  <c r="Q68"/>
  <c r="P68"/>
  <c r="O68"/>
  <c r="N68"/>
  <c r="M68"/>
  <c r="R67"/>
  <c r="Q67"/>
  <c r="P67"/>
  <c r="O67"/>
  <c r="N67"/>
  <c r="M67"/>
  <c r="R66"/>
  <c r="Q66"/>
  <c r="P66"/>
  <c r="O66"/>
  <c r="N66"/>
  <c r="M66"/>
  <c r="R65"/>
  <c r="Q65"/>
  <c r="P65"/>
  <c r="O65"/>
  <c r="N65"/>
  <c r="M65"/>
  <c r="R64"/>
  <c r="Q64"/>
  <c r="P64"/>
  <c r="O64"/>
  <c r="N64"/>
  <c r="M64"/>
  <c r="R63"/>
  <c r="Q63"/>
  <c r="P63"/>
  <c r="O63"/>
  <c r="N63"/>
  <c r="M63"/>
  <c r="R62"/>
  <c r="Q62"/>
  <c r="P62"/>
  <c r="O62"/>
  <c r="N62"/>
  <c r="M62"/>
  <c r="R61"/>
  <c r="Q61"/>
  <c r="P61"/>
  <c r="O61"/>
  <c r="N61"/>
  <c r="M61"/>
  <c r="R60"/>
  <c r="Q60"/>
  <c r="P60"/>
  <c r="O60"/>
  <c r="N60"/>
  <c r="M60"/>
  <c r="R59"/>
  <c r="Q59"/>
  <c r="P59"/>
  <c r="O59"/>
  <c r="N59"/>
  <c r="M59"/>
  <c r="R58"/>
  <c r="Q58"/>
  <c r="P58"/>
  <c r="O58"/>
  <c r="N58"/>
  <c r="M58"/>
  <c r="R57"/>
  <c r="Q57"/>
  <c r="P57"/>
  <c r="O57"/>
  <c r="N57"/>
  <c r="M57"/>
  <c r="R56"/>
  <c r="Q56"/>
  <c r="P56"/>
  <c r="O56"/>
  <c r="N56"/>
  <c r="M56"/>
  <c r="R55"/>
  <c r="Q55"/>
  <c r="P55"/>
  <c r="O55"/>
  <c r="N55"/>
  <c r="M55"/>
  <c r="R54"/>
  <c r="Q54"/>
  <c r="P54"/>
  <c r="O54"/>
  <c r="N54"/>
  <c r="M54"/>
  <c r="R53"/>
  <c r="Q53"/>
  <c r="P53"/>
  <c r="O53"/>
  <c r="N53"/>
  <c r="M53"/>
  <c r="R52"/>
  <c r="Q52"/>
  <c r="P52"/>
  <c r="O52"/>
  <c r="N52"/>
  <c r="M52"/>
  <c r="R51"/>
  <c r="Q51"/>
  <c r="P51"/>
  <c r="O51"/>
  <c r="N51"/>
  <c r="M51"/>
  <c r="R50"/>
  <c r="Q50"/>
  <c r="P50"/>
  <c r="O50"/>
  <c r="N50"/>
  <c r="M50"/>
  <c r="R49"/>
  <c r="Q49"/>
  <c r="P49"/>
  <c r="O49"/>
  <c r="N49"/>
  <c r="M49"/>
  <c r="R48"/>
  <c r="Q48"/>
  <c r="P48"/>
  <c r="O48"/>
  <c r="N48"/>
  <c r="M48"/>
  <c r="R47"/>
  <c r="Q47"/>
  <c r="P47"/>
  <c r="O47"/>
  <c r="N47"/>
  <c r="M47"/>
  <c r="R46"/>
  <c r="Q46"/>
  <c r="P46"/>
  <c r="O46"/>
  <c r="N46"/>
  <c r="M46"/>
  <c r="R45"/>
  <c r="Q45"/>
  <c r="P45"/>
  <c r="O45"/>
  <c r="N45"/>
  <c r="M45"/>
  <c r="R44"/>
  <c r="Q44"/>
  <c r="P44"/>
  <c r="O44"/>
  <c r="N44"/>
  <c r="M44"/>
  <c r="R43"/>
  <c r="Q43"/>
  <c r="P43"/>
  <c r="O43"/>
  <c r="N43"/>
  <c r="M43"/>
  <c r="R42"/>
  <c r="Q42"/>
  <c r="P42"/>
  <c r="O42"/>
  <c r="N42"/>
  <c r="M42"/>
  <c r="R41"/>
  <c r="Q41"/>
  <c r="P41"/>
  <c r="O41"/>
  <c r="N41"/>
  <c r="M41"/>
  <c r="R40"/>
  <c r="Q40"/>
  <c r="P40"/>
  <c r="O40"/>
  <c r="N40"/>
  <c r="M40"/>
  <c r="R39"/>
  <c r="Q39"/>
  <c r="P39"/>
  <c r="O39"/>
  <c r="N39"/>
  <c r="M39"/>
  <c r="R38"/>
  <c r="Q38"/>
  <c r="P38"/>
  <c r="O38"/>
  <c r="N38"/>
  <c r="M38"/>
  <c r="R37"/>
  <c r="Q37"/>
  <c r="P37"/>
  <c r="O37"/>
  <c r="N37"/>
  <c r="M37"/>
  <c r="R36"/>
  <c r="Q36"/>
  <c r="P36"/>
  <c r="O36"/>
  <c r="N36"/>
  <c r="M36"/>
  <c r="R35"/>
  <c r="Q35"/>
  <c r="P35"/>
  <c r="O35"/>
  <c r="N35"/>
  <c r="M35"/>
  <c r="R34"/>
  <c r="Q34"/>
  <c r="P34"/>
  <c r="O34"/>
  <c r="N34"/>
  <c r="M34"/>
  <c r="R33"/>
  <c r="Q33"/>
  <c r="P33"/>
  <c r="O33"/>
  <c r="N33"/>
  <c r="M33"/>
  <c r="R32"/>
  <c r="Q32"/>
  <c r="P32"/>
  <c r="O32"/>
  <c r="N32"/>
  <c r="M32"/>
  <c r="R31"/>
  <c r="Q31"/>
  <c r="P31"/>
  <c r="O31"/>
  <c r="N31"/>
  <c r="M31"/>
  <c r="R30"/>
  <c r="Q30"/>
  <c r="P30"/>
  <c r="O30"/>
  <c r="N30"/>
  <c r="M30"/>
  <c r="R29"/>
  <c r="Q29"/>
  <c r="P29"/>
  <c r="O29"/>
  <c r="N29"/>
  <c r="M29"/>
  <c r="R28"/>
  <c r="Q28"/>
  <c r="P28"/>
  <c r="O28"/>
  <c r="N28"/>
  <c r="M28"/>
  <c r="R27"/>
  <c r="Q27"/>
  <c r="P27"/>
  <c r="O27"/>
  <c r="N27"/>
  <c r="M27"/>
  <c r="R26"/>
  <c r="Q26"/>
  <c r="P26"/>
  <c r="O26"/>
  <c r="N26"/>
  <c r="M26"/>
  <c r="R25"/>
  <c r="Q25"/>
  <c r="P25"/>
  <c r="O25"/>
  <c r="N25"/>
  <c r="M25"/>
  <c r="R24"/>
  <c r="Q24"/>
  <c r="P24"/>
  <c r="O24"/>
  <c r="N24"/>
  <c r="M24"/>
  <c r="R23"/>
  <c r="Q23"/>
  <c r="P23"/>
  <c r="O23"/>
  <c r="N23"/>
  <c r="M23"/>
  <c r="R22"/>
  <c r="Q22"/>
  <c r="P22"/>
  <c r="O22"/>
  <c r="N22"/>
  <c r="M22"/>
  <c r="R21"/>
  <c r="Q21"/>
  <c r="P21"/>
  <c r="O21"/>
  <c r="N21"/>
  <c r="M21"/>
  <c r="R20"/>
  <c r="Q20"/>
  <c r="P20"/>
  <c r="O20"/>
  <c r="N20"/>
  <c r="M20"/>
  <c r="R19"/>
  <c r="Q19"/>
  <c r="P19"/>
  <c r="O19"/>
  <c r="N19"/>
  <c r="M19"/>
  <c r="R18"/>
  <c r="Q18"/>
  <c r="P18"/>
  <c r="O18"/>
  <c r="N18"/>
  <c r="M18"/>
  <c r="R17"/>
  <c r="Q17"/>
  <c r="P17"/>
  <c r="O17"/>
  <c r="N17"/>
  <c r="M17"/>
  <c r="R16"/>
  <c r="Q16"/>
  <c r="P16"/>
  <c r="O16"/>
  <c r="N16"/>
  <c r="M16"/>
  <c r="R15"/>
  <c r="Q15"/>
  <c r="P15"/>
  <c r="O15"/>
  <c r="N15"/>
  <c r="M15"/>
  <c r="R14"/>
  <c r="Q14"/>
  <c r="P14"/>
  <c r="O14"/>
  <c r="N14"/>
  <c r="M14"/>
  <c r="R13"/>
  <c r="Q13"/>
  <c r="P13"/>
  <c r="O13"/>
  <c r="N13"/>
  <c r="M13"/>
  <c r="R12"/>
  <c r="Q12"/>
  <c r="P12"/>
  <c r="O12"/>
  <c r="N12"/>
  <c r="M12"/>
  <c r="R11"/>
  <c r="Q11"/>
  <c r="P11"/>
  <c r="O11"/>
  <c r="N11"/>
  <c r="M11"/>
  <c r="R10"/>
  <c r="Q10"/>
  <c r="P10"/>
  <c r="O10"/>
  <c r="N10"/>
  <c r="M10"/>
  <c r="R9"/>
  <c r="Q9"/>
  <c r="P9"/>
  <c r="O9"/>
  <c r="N9"/>
  <c r="M9"/>
  <c r="R8"/>
  <c r="Q8"/>
  <c r="P8"/>
  <c r="O8"/>
  <c r="N8"/>
  <c r="M8"/>
  <c r="R7"/>
  <c r="Q7"/>
  <c r="P7"/>
  <c r="O7"/>
  <c r="N7"/>
  <c r="M7"/>
  <c r="R6"/>
  <c r="Q6"/>
  <c r="P6"/>
  <c r="O6"/>
  <c r="N6"/>
  <c r="M6"/>
  <c r="R5"/>
  <c r="Q5"/>
  <c r="P5"/>
  <c r="O5"/>
  <c r="N5"/>
  <c r="M5"/>
  <c r="R4"/>
  <c r="Q4"/>
  <c r="P4"/>
  <c r="O4"/>
  <c r="N4"/>
  <c r="M4"/>
  <c r="R3"/>
  <c r="Q3"/>
  <c r="P3"/>
  <c r="O3"/>
  <c r="N3"/>
  <c r="M3"/>
  <c r="R2"/>
  <c r="Q2"/>
  <c r="P2"/>
  <c r="O2"/>
  <c r="N2"/>
  <c r="M2"/>
  <c r="U166" i="11" l="1"/>
  <c r="V166" s="1"/>
  <c r="U148"/>
  <c r="V148" s="1"/>
  <c r="U121"/>
  <c r="V121" s="1"/>
  <c r="U42"/>
  <c r="V42" s="1"/>
  <c r="U196"/>
  <c r="V196" s="1"/>
  <c r="U139"/>
  <c r="V139" s="1"/>
  <c r="U20"/>
  <c r="V20" s="1"/>
  <c r="U189"/>
  <c r="V189" s="1"/>
  <c r="U95"/>
  <c r="V95" s="1"/>
  <c r="U316"/>
  <c r="V316" s="1"/>
  <c r="U206"/>
  <c r="V206" s="1"/>
  <c r="U151"/>
  <c r="V151" s="1"/>
  <c r="U246"/>
  <c r="V246" s="1"/>
  <c r="U216"/>
  <c r="V216" s="1"/>
  <c r="U112"/>
  <c r="V112" s="1"/>
  <c r="U309"/>
  <c r="V309" s="1"/>
  <c r="U140"/>
  <c r="V140" s="1"/>
  <c r="U267"/>
  <c r="V267" s="1"/>
  <c r="U222"/>
  <c r="V222" s="1"/>
  <c r="U44"/>
  <c r="V44" s="1"/>
  <c r="U4"/>
  <c r="V4" s="1"/>
  <c r="U263"/>
  <c r="V263" s="1"/>
  <c r="U186"/>
  <c r="V186" s="1"/>
  <c r="U132"/>
  <c r="V132" s="1"/>
  <c r="U225"/>
  <c r="V225" s="1"/>
  <c r="U281"/>
  <c r="V281" s="1"/>
  <c r="U252"/>
  <c r="V252" s="1"/>
  <c r="U41"/>
  <c r="V41" s="1"/>
  <c r="U57"/>
  <c r="V57" s="1"/>
  <c r="U210"/>
  <c r="V210" s="1"/>
  <c r="U130"/>
  <c r="V130" s="1"/>
  <c r="U80"/>
  <c r="V80" s="1"/>
  <c r="U83"/>
  <c r="V83" s="1"/>
  <c r="U303"/>
  <c r="V303" s="1"/>
  <c r="U159"/>
  <c r="V159" s="1"/>
  <c r="U149"/>
  <c r="V149" s="1"/>
  <c r="U224"/>
  <c r="U279"/>
  <c r="V279" s="1"/>
  <c r="U313"/>
  <c r="V313" s="1"/>
  <c r="U204"/>
  <c r="V204" s="1"/>
  <c r="U21"/>
  <c r="V21" s="1"/>
  <c r="U280"/>
  <c r="V280" s="1"/>
  <c r="U87"/>
  <c r="V87" s="1"/>
  <c r="U176"/>
  <c r="V176" s="1"/>
  <c r="U318"/>
  <c r="V318" s="1"/>
  <c r="U52"/>
  <c r="V52" s="1"/>
  <c r="U211"/>
  <c r="V211" s="1"/>
  <c r="U177"/>
  <c r="V177" s="1"/>
  <c r="U234"/>
  <c r="V234" s="1"/>
  <c r="U150"/>
  <c r="V150" s="1"/>
  <c r="U90"/>
  <c r="V90" s="1"/>
  <c r="U73"/>
  <c r="V73" s="1"/>
  <c r="U249"/>
  <c r="V249" s="1"/>
  <c r="U49"/>
  <c r="V49" s="1"/>
  <c r="U251"/>
  <c r="V251" s="1"/>
  <c r="U45"/>
  <c r="V45" s="1"/>
  <c r="U233"/>
  <c r="V233" s="1"/>
  <c r="U202"/>
  <c r="V202" s="1"/>
  <c r="U165"/>
  <c r="V165" s="1"/>
  <c r="U85"/>
  <c r="V85" s="1"/>
  <c r="U295"/>
  <c r="V295" s="1"/>
  <c r="U240"/>
  <c r="V240" s="1"/>
  <c r="U147"/>
  <c r="V147" s="1"/>
  <c r="U258"/>
  <c r="V258" s="1"/>
  <c r="U69"/>
  <c r="V69" s="1"/>
  <c r="U76"/>
  <c r="V76" s="1"/>
  <c r="U315"/>
  <c r="V315" s="1"/>
  <c r="U241"/>
  <c r="V241" s="1"/>
  <c r="U156"/>
  <c r="V156" s="1"/>
  <c r="U275"/>
  <c r="V275" s="1"/>
  <c r="U162"/>
  <c r="V162" s="1"/>
  <c r="U15"/>
  <c r="V15" s="1"/>
  <c r="U26"/>
  <c r="V26" s="1"/>
  <c r="U48"/>
  <c r="V48" s="1"/>
  <c r="U238"/>
  <c r="V238" s="1"/>
  <c r="U182"/>
  <c r="V182" s="1"/>
  <c r="U236"/>
  <c r="V236" s="1"/>
  <c r="U274"/>
  <c r="V274" s="1"/>
  <c r="U168"/>
  <c r="V168" s="1"/>
  <c r="U108"/>
  <c r="V108" s="1"/>
  <c r="U244"/>
  <c r="V244" s="1"/>
  <c r="U119"/>
  <c r="V119" s="1"/>
  <c r="U146"/>
  <c r="V146" s="1"/>
  <c r="U226"/>
  <c r="V226" s="1"/>
  <c r="U197"/>
  <c r="V197" s="1"/>
  <c r="U114"/>
  <c r="V114" s="1"/>
  <c r="U129"/>
  <c r="V129" s="1"/>
  <c r="U81"/>
  <c r="V81" s="1"/>
  <c r="U6"/>
  <c r="V6" s="1"/>
  <c r="U99"/>
  <c r="V99" s="1"/>
  <c r="U62"/>
  <c r="V62" s="1"/>
  <c r="U91"/>
  <c r="V91" s="1"/>
  <c r="U3"/>
  <c r="V3" s="1"/>
  <c r="U101"/>
  <c r="V101" s="1"/>
  <c r="U93"/>
  <c r="V93" s="1"/>
  <c r="U276"/>
  <c r="V276" s="1"/>
  <c r="U7"/>
  <c r="V7" s="1"/>
  <c r="U135"/>
  <c r="V135" s="1"/>
  <c r="U104"/>
  <c r="V104" s="1"/>
  <c r="U256"/>
  <c r="V256" s="1"/>
  <c r="U271"/>
  <c r="V271" s="1"/>
  <c r="U223"/>
  <c r="V223" s="1"/>
  <c r="U193"/>
  <c r="V193" s="1"/>
  <c r="U137"/>
  <c r="V137" s="1"/>
  <c r="U305"/>
  <c r="V305" s="1"/>
  <c r="U237"/>
  <c r="V237" s="1"/>
  <c r="U27"/>
  <c r="V27" s="1"/>
  <c r="U61"/>
  <c r="V61" s="1"/>
  <c r="U131"/>
  <c r="V131" s="1"/>
  <c r="U107"/>
  <c r="V107" s="1"/>
  <c r="U155"/>
  <c r="V155" s="1"/>
  <c r="U110"/>
  <c r="V110" s="1"/>
  <c r="U136"/>
  <c r="V136" s="1"/>
  <c r="U128"/>
  <c r="V128" s="1"/>
  <c r="U133"/>
  <c r="V133" s="1"/>
  <c r="U195"/>
  <c r="V195" s="1"/>
  <c r="U180"/>
  <c r="V180" s="1"/>
  <c r="U18"/>
  <c r="V18" s="1"/>
  <c r="U17"/>
  <c r="V17" s="1"/>
  <c r="U272"/>
  <c r="V272" s="1"/>
  <c r="U220"/>
  <c r="V220" s="1"/>
  <c r="U125"/>
  <c r="V125" s="1"/>
  <c r="U293"/>
  <c r="V293" s="1"/>
  <c r="U175"/>
  <c r="V175" s="1"/>
  <c r="U191"/>
  <c r="V191" s="1"/>
  <c r="U124"/>
  <c r="V124" s="1"/>
  <c r="U32"/>
  <c r="V32" s="1"/>
  <c r="U24"/>
  <c r="V24" s="1"/>
  <c r="U55"/>
  <c r="V55" s="1"/>
  <c r="U143"/>
  <c r="V143" s="1"/>
  <c r="U75"/>
  <c r="V75" s="1"/>
  <c r="U66"/>
  <c r="V66" s="1"/>
  <c r="U138"/>
  <c r="V138" s="1"/>
  <c r="U302"/>
  <c r="V302" s="1"/>
  <c r="U157"/>
  <c r="V157" s="1"/>
  <c r="U259"/>
  <c r="V259" s="1"/>
  <c r="U179"/>
  <c r="V179" s="1"/>
  <c r="U10"/>
  <c r="V10" s="1"/>
  <c r="U5"/>
  <c r="V5" s="1"/>
  <c r="U278"/>
  <c r="V278" s="1"/>
  <c r="U38"/>
  <c r="V38" s="1"/>
  <c r="U314"/>
  <c r="V314" s="1"/>
  <c r="U291"/>
  <c r="V291" s="1"/>
  <c r="U78"/>
  <c r="V78" s="1"/>
  <c r="U54"/>
  <c r="V54" s="1"/>
  <c r="U158"/>
  <c r="V158" s="1"/>
  <c r="U173"/>
  <c r="V173" s="1"/>
  <c r="U169"/>
  <c r="V169" s="1"/>
  <c r="U153"/>
  <c r="V153" s="1"/>
  <c r="U229"/>
  <c r="V229" s="1"/>
  <c r="U111"/>
  <c r="V111" s="1"/>
  <c r="U64"/>
  <c r="V64" s="1"/>
  <c r="U2"/>
  <c r="V2" s="1"/>
  <c r="U56"/>
  <c r="V56" s="1"/>
  <c r="U14"/>
  <c r="V14" s="1"/>
  <c r="U164"/>
  <c r="V164" s="1"/>
  <c r="U115"/>
  <c r="V115" s="1"/>
  <c r="U144"/>
  <c r="V144" s="1"/>
  <c r="U117"/>
  <c r="V117" s="1"/>
  <c r="U231"/>
  <c r="V231" s="1"/>
  <c r="U134"/>
  <c r="V134" s="1"/>
  <c r="U172"/>
  <c r="V172" s="1"/>
  <c r="U199"/>
  <c r="V199" s="1"/>
  <c r="U106"/>
  <c r="V106" s="1"/>
  <c r="U8"/>
  <c r="V8" s="1"/>
  <c r="U307"/>
  <c r="V307" s="1"/>
  <c r="U170"/>
  <c r="V170" s="1"/>
  <c r="U86"/>
  <c r="V86" s="1"/>
  <c r="U200"/>
  <c r="V200" s="1"/>
  <c r="U47"/>
  <c r="V47" s="1"/>
  <c r="U77"/>
  <c r="V77" s="1"/>
  <c r="U50"/>
  <c r="V50" s="1"/>
  <c r="U59"/>
  <c r="V59" s="1"/>
  <c r="U311"/>
  <c r="V311" s="1"/>
  <c r="U116"/>
  <c r="V116" s="1"/>
  <c r="U9"/>
  <c r="V9" s="1"/>
  <c r="U60"/>
  <c r="V60" s="1"/>
  <c r="U217"/>
  <c r="V217" s="1"/>
  <c r="U288"/>
  <c r="V288" s="1"/>
  <c r="U167"/>
  <c r="V167" s="1"/>
  <c r="U184"/>
  <c r="V184" s="1"/>
  <c r="U243"/>
  <c r="V243" s="1"/>
  <c r="U250"/>
  <c r="V250" s="1"/>
  <c r="U105"/>
  <c r="V105" s="1"/>
  <c r="U207"/>
  <c r="V207" s="1"/>
  <c r="U185"/>
  <c r="V185" s="1"/>
  <c r="U11"/>
  <c r="V11" s="1"/>
  <c r="U261"/>
  <c r="V261" s="1"/>
  <c r="U203"/>
  <c r="V203" s="1"/>
  <c r="U33"/>
  <c r="V33" s="1"/>
  <c r="U297"/>
  <c r="V297" s="1"/>
  <c r="U282"/>
  <c r="V282" s="1"/>
  <c r="U300"/>
  <c r="V300" s="1"/>
  <c r="U171"/>
  <c r="V171" s="1"/>
  <c r="U218"/>
  <c r="V218" s="1"/>
  <c r="U37"/>
  <c r="V37" s="1"/>
  <c r="U113"/>
  <c r="V113" s="1"/>
  <c r="V224"/>
  <c r="U163"/>
  <c r="V163" s="1"/>
  <c r="U201"/>
  <c r="V201" s="1"/>
  <c r="U255"/>
  <c r="V255" s="1"/>
  <c r="U301"/>
  <c r="V301" s="1"/>
  <c r="U43"/>
  <c r="V43" s="1"/>
  <c r="U294"/>
  <c r="V294" s="1"/>
  <c r="U269"/>
  <c r="V269" s="1"/>
  <c r="U257"/>
  <c r="V257" s="1"/>
  <c r="U65"/>
  <c r="V65" s="1"/>
  <c r="U71"/>
  <c r="V71" s="1"/>
  <c r="U154"/>
  <c r="V154" s="1"/>
  <c r="U320"/>
  <c r="V320" s="1"/>
  <c r="U227"/>
  <c r="V227" s="1"/>
  <c r="U79"/>
  <c r="V79" s="1"/>
  <c r="U283"/>
  <c r="V283" s="1"/>
  <c r="U19"/>
  <c r="V19" s="1"/>
  <c r="U34"/>
  <c r="V34" s="1"/>
  <c r="U25"/>
  <c r="V25" s="1"/>
  <c r="U63"/>
  <c r="V63" s="1"/>
  <c r="U36"/>
  <c r="V36" s="1"/>
  <c r="U254"/>
  <c r="V254" s="1"/>
  <c r="U96"/>
  <c r="V96" s="1"/>
  <c r="U321"/>
  <c r="V321" s="1"/>
  <c r="U145"/>
  <c r="V145" s="1"/>
  <c r="U46"/>
  <c r="V46" s="1"/>
  <c r="U31"/>
  <c r="V31" s="1"/>
  <c r="U13"/>
  <c r="V13" s="1"/>
  <c r="U268"/>
  <c r="V268" s="1"/>
  <c r="U266"/>
  <c r="V266" s="1"/>
  <c r="U118"/>
  <c r="V118" s="1"/>
  <c r="U209"/>
  <c r="V209" s="1"/>
  <c r="U12"/>
  <c r="V12" s="1"/>
  <c r="U68"/>
  <c r="V68" s="1"/>
  <c r="U235"/>
  <c r="V235" s="1"/>
  <c r="U299"/>
  <c r="V299" s="1"/>
  <c r="U212"/>
  <c r="V212" s="1"/>
  <c r="U245"/>
  <c r="V245" s="1"/>
  <c r="U290"/>
  <c r="V290" s="1"/>
  <c r="U289"/>
  <c r="V289" s="1"/>
  <c r="U30"/>
  <c r="V30" s="1"/>
  <c r="U58"/>
  <c r="V58" s="1"/>
  <c r="U190"/>
  <c r="V190" s="1"/>
  <c r="U306"/>
  <c r="V306" s="1"/>
  <c r="U296"/>
  <c r="V296" s="1"/>
  <c r="U232"/>
  <c r="V232" s="1"/>
  <c r="U312"/>
  <c r="V312" s="1"/>
  <c r="U39"/>
  <c r="V39" s="1"/>
  <c r="U72"/>
  <c r="V72" s="1"/>
  <c r="U103"/>
  <c r="V103" s="1"/>
  <c r="U214"/>
  <c r="V214" s="1"/>
  <c r="U120"/>
  <c r="V120" s="1"/>
  <c r="U142"/>
  <c r="V142" s="1"/>
  <c r="U221"/>
  <c r="V221" s="1"/>
  <c r="U284"/>
  <c r="V284" s="1"/>
  <c r="U183"/>
  <c r="V183" s="1"/>
  <c r="U308"/>
  <c r="V308" s="1"/>
  <c r="U122"/>
  <c r="V122" s="1"/>
  <c r="U319"/>
  <c r="V319" s="1"/>
  <c r="U22"/>
  <c r="V22" s="1"/>
  <c r="U253"/>
  <c r="V253" s="1"/>
  <c r="U53"/>
  <c r="V53" s="1"/>
  <c r="U310"/>
  <c r="V310" s="1"/>
  <c r="U141"/>
  <c r="V141" s="1"/>
  <c r="U277"/>
  <c r="V277" s="1"/>
  <c r="U242"/>
  <c r="V242" s="1"/>
  <c r="U215"/>
  <c r="V215" s="1"/>
  <c r="U152"/>
  <c r="V152" s="1"/>
  <c r="U208"/>
  <c r="V208" s="1"/>
  <c r="U67"/>
  <c r="V67" s="1"/>
  <c r="U88"/>
  <c r="V88" s="1"/>
  <c r="U89"/>
  <c r="V89" s="1"/>
  <c r="U92"/>
  <c r="V92" s="1"/>
  <c r="U304"/>
  <c r="V304" s="1"/>
</calcChain>
</file>

<file path=xl/sharedStrings.xml><?xml version="1.0" encoding="utf-8"?>
<sst xmlns="http://schemas.openxmlformats.org/spreadsheetml/2006/main" count="4039" uniqueCount="148">
  <si>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</si>
  <si>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</si>
  <si>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</si>
  <si>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</si>
  <si>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</si>
  <si>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</si>
  <si>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</si>
  <si>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</si>
  <si>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</si>
  <si>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</si>
  <si>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</si>
  <si>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</si>
  <si>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</si>
  <si>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</si>
  <si>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</si>
  <si>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</si>
  <si>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</si>
  <si>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</si>
  <si>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</si>
  <si>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</si>
  <si>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</si>
  <si>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</si>
  <si>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</si>
  <si>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</si>
  <si>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</si>
  <si>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</si>
  <si>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</si>
  <si>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</si>
  <si>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</si>
  <si>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</si>
  <si>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</si>
  <si>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</si>
  <si>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</si>
  <si>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</si>
  <si>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</si>
  <si>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</si>
  <si>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</si>
  <si>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</si>
  <si>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</si>
  <si>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</si>
  <si>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</si>
  <si>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</si>
  <si>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</si>
  <si>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</si>
  <si>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</si>
  <si>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</si>
  <si>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</si>
  <si>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</si>
  <si>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</si>
  <si>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</si>
  <si>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</si>
  <si>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</si>
  <si>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</si>
  <si>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</si>
  <si>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</si>
  <si>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</si>
  <si>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</si>
  <si>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</si>
  <si>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</si>
  <si>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</si>
  <si>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</si>
  <si>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</si>
  <si>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</si>
  <si>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</si>
  <si>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</si>
  <si>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</si>
  <si>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</si>
  <si>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</si>
  <si>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</si>
  <si>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</si>
  <si>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</si>
  <si>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</si>
  <si>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</si>
  <si>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</si>
  <si>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</si>
  <si>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</si>
  <si>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</si>
  <si>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</si>
  <si>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</si>
  <si>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</si>
  <si>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</si>
  <si>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</si>
  <si>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</si>
  <si>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</si>
  <si>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</si>
  <si>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</si>
  <si>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</si>
  <si>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</si>
  <si>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</si>
  <si>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</si>
  <si>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</si>
  <si>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</si>
  <si>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</si>
  <si>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</si>
  <si>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</si>
  <si>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</si>
  <si>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</si>
  <si>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</si>
  <si>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</si>
  <si>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</si>
  <si>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</si>
  <si>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</si>
  <si>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Region_North</t>
  </si>
  <si>
    <t>Region_South</t>
  </si>
  <si>
    <t>Region_East</t>
  </si>
  <si>
    <t>Store_Mall</t>
  </si>
  <si>
    <t>Store_highStreet</t>
  </si>
  <si>
    <t>Store_Airport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</si>
  <si>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</si>
  <si>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</si>
  <si>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</si>
  <si>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</si>
  <si>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</si>
  <si>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</si>
  <si>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</si>
  <si>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</si>
  <si>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</si>
  <si>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</si>
  <si>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</si>
  <si>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</si>
  <si>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</si>
  <si>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</si>
  <si>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</si>
  <si>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</si>
  <si>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</si>
  <si>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</si>
  <si>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</si>
  <si>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</si>
  <si>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</si>
  <si>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</si>
  <si>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</si>
  <si>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</si>
  <si>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Predicted Sales</t>
  </si>
  <si>
    <t>Metric</t>
  </si>
  <si>
    <t>Multiple Regression</t>
  </si>
  <si>
    <t>Single Regression</t>
  </si>
  <si>
    <t>Significant F</t>
  </si>
  <si>
    <t>Number of Predictors</t>
  </si>
  <si>
    <t>Better Model?</t>
  </si>
  <si>
    <t>No</t>
  </si>
  <si>
    <t>Yes</t>
  </si>
  <si>
    <t>Largest Negative Residuals</t>
  </si>
  <si>
    <t>The following records showed the largest negative residuals after sorting the residual column in ascending order.</t>
  </si>
  <si>
    <t>Rank</t>
  </si>
  <si>
    <t>Store ID</t>
  </si>
  <si>
    <t>Actual Sales</t>
  </si>
  <si>
    <t>Largest Positive Residuals</t>
  </si>
  <si>
    <t>The following records showed the largest positive residuals after sorting the residual column in descending order.</t>
  </si>
</sst>
</file>

<file path=xl/styles.xml><?xml version="1.0" encoding="utf-8"?>
<styleSheet xmlns="http://schemas.openxmlformats.org/spreadsheetml/2006/main">
  <numFmts count="1">
    <numFmt numFmtId="164" formatCode="yyyy\-mm"/>
  </numFmts>
  <fonts count="7">
    <font>
      <sz val="11"/>
      <color rgb="FF000000"/>
      <name val="Carlito"/>
      <scheme val="minor"/>
    </font>
    <font>
      <b/>
      <sz val="11"/>
      <color rgb="FFFFFFFF"/>
      <name val="Carlito"/>
    </font>
    <font>
      <sz val="11"/>
      <color theme="1"/>
      <name val="Carlito"/>
    </font>
    <font>
      <sz val="11"/>
      <color theme="1"/>
      <name val="Carlito"/>
      <scheme val="minor"/>
    </font>
    <font>
      <b/>
      <sz val="11"/>
      <color theme="1"/>
      <name val="Carlito"/>
      <scheme val="minor"/>
    </font>
    <font>
      <i/>
      <sz val="11"/>
      <color rgb="FF000000"/>
      <name val="Carlito"/>
      <scheme val="minor"/>
    </font>
    <font>
      <b/>
      <sz val="11"/>
      <color rgb="FF000000"/>
      <name val="Carlito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5F91"/>
        <bgColor rgb="FF365F91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/>
    <xf numFmtId="164" fontId="2" fillId="0" borderId="0" xfId="0" applyNumberFormat="1" applyFont="1" applyAlignment="1"/>
    <xf numFmtId="0" fontId="3" fillId="0" borderId="0" xfId="0" applyFont="1"/>
    <xf numFmtId="0" fontId="3" fillId="0" borderId="0" xfId="0" applyFont="1"/>
    <xf numFmtId="0" fontId="0" fillId="0" borderId="0" xfId="0" applyAlignment="1"/>
    <xf numFmtId="0" fontId="0" fillId="0" borderId="0" xfId="0" applyFill="1" applyBorder="1" applyAlignment="1"/>
    <xf numFmtId="0" fontId="0" fillId="0" borderId="1" xfId="0" applyFill="1" applyBorder="1" applyAlignment="1"/>
    <xf numFmtId="0" fontId="5" fillId="0" borderId="2" xfId="0" applyFont="1" applyFill="1" applyBorder="1" applyAlignment="1">
      <alignment horizontal="center"/>
    </xf>
    <xf numFmtId="0" fontId="5" fillId="0" borderId="2" xfId="0" applyFont="1" applyFill="1" applyBorder="1" applyAlignment="1">
      <alignment horizontal="centerContinuous"/>
    </xf>
    <xf numFmtId="0" fontId="4" fillId="0" borderId="0" xfId="0" applyFont="1" applyAlignment="1">
      <alignment horizontal="center" wrapText="1"/>
    </xf>
    <xf numFmtId="0" fontId="0" fillId="0" borderId="0" xfId="0" applyFont="1" applyAlignment="1">
      <alignment vertical="top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3" xfId="0" applyFont="1" applyBorder="1" applyAlignment="1">
      <alignment horizontal="center" vertical="center" wrapText="1"/>
    </xf>
    <xf numFmtId="11" fontId="0" fillId="0" borderId="3" xfId="0" applyNumberFormat="1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/>
    <xf numFmtId="0" fontId="2" fillId="0" borderId="3" xfId="0" applyFont="1" applyBorder="1" applyAlignment="1"/>
    <xf numFmtId="0" fontId="0" fillId="0" borderId="3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000"/>
  <sheetViews>
    <sheetView workbookViewId="0">
      <pane ySplit="1" topLeftCell="A2" activePane="bottomLeft" state="frozen"/>
      <selection pane="bottomLeft" activeCell="B3" sqref="B3"/>
    </sheetView>
  </sheetViews>
  <sheetFormatPr defaultColWidth="12.625" defaultRowHeight="15" customHeight="1"/>
  <cols>
    <col min="1" max="14" width="16" customWidth="1"/>
    <col min="15" max="26" width="8.625" customWidth="1"/>
  </cols>
  <sheetData>
    <row r="1" spans="1:14" ht="27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4.25">
      <c r="A2" s="2" t="s">
        <v>14</v>
      </c>
      <c r="B2" s="3">
        <v>45658</v>
      </c>
      <c r="C2" s="2" t="s">
        <v>15</v>
      </c>
      <c r="D2" s="2" t="s">
        <v>16</v>
      </c>
      <c r="E2" s="2">
        <v>70389.11</v>
      </c>
      <c r="F2" s="2">
        <v>8302</v>
      </c>
      <c r="G2" s="2">
        <v>4.2000000000000003E-2</v>
      </c>
      <c r="H2" s="2">
        <v>17</v>
      </c>
      <c r="I2" s="2">
        <v>75</v>
      </c>
      <c r="J2" s="2">
        <v>5.28</v>
      </c>
      <c r="K2" s="2">
        <v>1</v>
      </c>
      <c r="L2" s="2">
        <v>3.1</v>
      </c>
      <c r="M2" s="2">
        <v>658832.62</v>
      </c>
      <c r="N2" s="2">
        <v>84349.93</v>
      </c>
    </row>
    <row r="3" spans="1:14" ht="14.25">
      <c r="A3" s="2" t="s">
        <v>14</v>
      </c>
      <c r="B3" s="3">
        <v>45689</v>
      </c>
      <c r="C3" s="2" t="s">
        <v>15</v>
      </c>
      <c r="D3" s="2" t="s">
        <v>16</v>
      </c>
      <c r="E3" s="2">
        <v>43827.89</v>
      </c>
      <c r="F3" s="2">
        <v>8487</v>
      </c>
      <c r="G3" s="2">
        <v>0.16800000000000001</v>
      </c>
      <c r="H3" s="2">
        <v>23</v>
      </c>
      <c r="I3" s="2">
        <v>84.4</v>
      </c>
      <c r="J3" s="2">
        <v>4.3099999999999996</v>
      </c>
      <c r="K3" s="2">
        <v>0</v>
      </c>
      <c r="L3" s="2">
        <v>2.8</v>
      </c>
      <c r="M3" s="2">
        <v>634436</v>
      </c>
      <c r="N3" s="2">
        <v>106130.54</v>
      </c>
    </row>
    <row r="4" spans="1:14" ht="14.25">
      <c r="A4" s="2" t="s">
        <v>14</v>
      </c>
      <c r="B4" s="3">
        <v>45717</v>
      </c>
      <c r="C4" s="2" t="s">
        <v>15</v>
      </c>
      <c r="D4" s="2" t="s">
        <v>16</v>
      </c>
      <c r="E4" s="2">
        <v>59921.75</v>
      </c>
      <c r="F4" s="2">
        <v>9113</v>
      </c>
      <c r="G4" s="2">
        <v>0.13300000000000001</v>
      </c>
      <c r="H4" s="2">
        <v>20</v>
      </c>
      <c r="I4" s="2">
        <v>88</v>
      </c>
      <c r="J4" s="2">
        <v>12</v>
      </c>
      <c r="K4" s="2">
        <v>0</v>
      </c>
      <c r="L4" s="2">
        <v>3.2</v>
      </c>
      <c r="M4" s="2">
        <v>678722.06</v>
      </c>
      <c r="N4" s="2">
        <v>101883.86</v>
      </c>
    </row>
    <row r="5" spans="1:14" ht="14.25">
      <c r="A5" s="2" t="s">
        <v>14</v>
      </c>
      <c r="B5" s="3">
        <v>45748</v>
      </c>
      <c r="C5" s="2" t="s">
        <v>15</v>
      </c>
      <c r="D5" s="2" t="s">
        <v>16</v>
      </c>
      <c r="E5" s="2">
        <v>56856.63</v>
      </c>
      <c r="F5" s="2">
        <v>9431</v>
      </c>
      <c r="G5" s="2">
        <v>0.14199999999999999</v>
      </c>
      <c r="H5" s="2">
        <v>23</v>
      </c>
      <c r="I5" s="2">
        <v>86.9</v>
      </c>
      <c r="J5" s="2">
        <v>4.97</v>
      </c>
      <c r="K5" s="2">
        <v>0</v>
      </c>
      <c r="L5" s="2">
        <v>3.4</v>
      </c>
      <c r="M5" s="2">
        <v>658920.30000000005</v>
      </c>
      <c r="N5" s="2">
        <v>97910.37</v>
      </c>
    </row>
    <row r="6" spans="1:14" ht="14.25">
      <c r="A6" s="2" t="s">
        <v>17</v>
      </c>
      <c r="B6" s="3">
        <v>45658</v>
      </c>
      <c r="C6" s="2" t="s">
        <v>15</v>
      </c>
      <c r="D6" s="2" t="s">
        <v>18</v>
      </c>
      <c r="E6" s="2">
        <v>48412.639999999999</v>
      </c>
      <c r="F6" s="2">
        <v>9545</v>
      </c>
      <c r="G6" s="2">
        <v>0.23100000000000001</v>
      </c>
      <c r="H6" s="2">
        <v>21</v>
      </c>
      <c r="I6" s="2">
        <v>97.6</v>
      </c>
      <c r="J6" s="2">
        <v>6.94</v>
      </c>
      <c r="K6" s="2">
        <v>1</v>
      </c>
      <c r="L6" s="2">
        <v>4.2</v>
      </c>
      <c r="M6" s="2">
        <v>741341.44</v>
      </c>
      <c r="N6" s="2">
        <v>119208.17</v>
      </c>
    </row>
    <row r="7" spans="1:14" ht="14.25">
      <c r="A7" s="2" t="s">
        <v>17</v>
      </c>
      <c r="B7" s="3">
        <v>45689</v>
      </c>
      <c r="C7" s="2" t="s">
        <v>15</v>
      </c>
      <c r="D7" s="2" t="s">
        <v>18</v>
      </c>
      <c r="E7" s="2">
        <v>64811.21</v>
      </c>
      <c r="F7" s="2">
        <v>9792</v>
      </c>
      <c r="G7" s="2">
        <v>0.112</v>
      </c>
      <c r="H7" s="2">
        <v>20</v>
      </c>
      <c r="I7" s="2">
        <v>84.2</v>
      </c>
      <c r="J7" s="2">
        <v>2.88</v>
      </c>
      <c r="K7" s="2">
        <v>0</v>
      </c>
      <c r="L7" s="2">
        <v>4.2</v>
      </c>
      <c r="M7" s="2">
        <v>761835.34</v>
      </c>
      <c r="N7" s="2">
        <v>149602.23000000001</v>
      </c>
    </row>
    <row r="8" spans="1:14" ht="14.25">
      <c r="A8" s="2" t="s">
        <v>17</v>
      </c>
      <c r="B8" s="3">
        <v>45717</v>
      </c>
      <c r="C8" s="2" t="s">
        <v>15</v>
      </c>
      <c r="D8" s="2" t="s">
        <v>18</v>
      </c>
      <c r="E8" s="2">
        <v>46213.45</v>
      </c>
      <c r="F8" s="2">
        <v>10616</v>
      </c>
      <c r="G8" s="2">
        <v>0.122</v>
      </c>
      <c r="H8" s="2">
        <v>22</v>
      </c>
      <c r="I8" s="2">
        <v>85.2</v>
      </c>
      <c r="J8" s="2">
        <v>0.2</v>
      </c>
      <c r="K8" s="2">
        <v>1</v>
      </c>
      <c r="L8" s="2">
        <v>4.0999999999999996</v>
      </c>
      <c r="M8" s="2">
        <v>806615.54</v>
      </c>
      <c r="N8" s="2">
        <v>131364.62</v>
      </c>
    </row>
    <row r="9" spans="1:14" ht="14.25">
      <c r="A9" s="2" t="s">
        <v>17</v>
      </c>
      <c r="B9" s="3">
        <v>45748</v>
      </c>
      <c r="C9" s="2" t="s">
        <v>15</v>
      </c>
      <c r="D9" s="2" t="s">
        <v>18</v>
      </c>
      <c r="E9" s="2">
        <v>68148.52</v>
      </c>
      <c r="F9" s="2">
        <v>8567</v>
      </c>
      <c r="G9" s="2">
        <v>0.127</v>
      </c>
      <c r="H9" s="2">
        <v>23</v>
      </c>
      <c r="I9" s="2">
        <v>95.6</v>
      </c>
      <c r="J9" s="2">
        <v>0.8</v>
      </c>
      <c r="K9" s="2">
        <v>0</v>
      </c>
      <c r="L9" s="2">
        <v>3.9</v>
      </c>
      <c r="M9" s="2">
        <v>850164.26</v>
      </c>
      <c r="N9" s="2">
        <v>149262.75</v>
      </c>
    </row>
    <row r="10" spans="1:14" ht="14.25">
      <c r="A10" s="2" t="s">
        <v>19</v>
      </c>
      <c r="B10" s="3">
        <v>45658</v>
      </c>
      <c r="C10" s="2" t="s">
        <v>20</v>
      </c>
      <c r="D10" s="2" t="s">
        <v>21</v>
      </c>
      <c r="E10" s="2">
        <v>71838.86</v>
      </c>
      <c r="F10" s="2">
        <v>10979</v>
      </c>
      <c r="G10" s="2">
        <v>0.215</v>
      </c>
      <c r="H10" s="2">
        <v>26</v>
      </c>
      <c r="I10" s="2">
        <v>88.6</v>
      </c>
      <c r="J10" s="2">
        <v>7.7</v>
      </c>
      <c r="K10" s="2">
        <v>1</v>
      </c>
      <c r="L10" s="2">
        <v>3.8</v>
      </c>
      <c r="M10" s="2">
        <v>930581.7</v>
      </c>
      <c r="N10" s="2">
        <v>136207.98000000001</v>
      </c>
    </row>
    <row r="11" spans="1:14" ht="14.25">
      <c r="A11" s="2" t="s">
        <v>19</v>
      </c>
      <c r="B11" s="3">
        <v>45689</v>
      </c>
      <c r="C11" s="2" t="s">
        <v>20</v>
      </c>
      <c r="D11" s="2" t="s">
        <v>21</v>
      </c>
      <c r="E11" s="2">
        <v>68133.440000000002</v>
      </c>
      <c r="F11" s="2">
        <v>9459</v>
      </c>
      <c r="G11" s="2">
        <v>0.22</v>
      </c>
      <c r="H11" s="2">
        <v>21</v>
      </c>
      <c r="I11" s="2">
        <v>85</v>
      </c>
      <c r="J11" s="2">
        <v>1.91</v>
      </c>
      <c r="K11" s="2">
        <v>0</v>
      </c>
      <c r="L11" s="2">
        <v>4.2</v>
      </c>
      <c r="M11" s="2">
        <v>779010.94</v>
      </c>
      <c r="N11" s="2">
        <v>106328.09</v>
      </c>
    </row>
    <row r="12" spans="1:14" ht="14.25">
      <c r="A12" s="2" t="s">
        <v>19</v>
      </c>
      <c r="B12" s="3">
        <v>45717</v>
      </c>
      <c r="C12" s="2" t="s">
        <v>20</v>
      </c>
      <c r="D12" s="2" t="s">
        <v>21</v>
      </c>
      <c r="E12" s="2">
        <v>34285.21</v>
      </c>
      <c r="F12" s="2">
        <v>9172</v>
      </c>
      <c r="G12" s="2">
        <v>0.21299999999999999</v>
      </c>
      <c r="H12" s="2">
        <v>22</v>
      </c>
      <c r="I12" s="2">
        <v>88.3</v>
      </c>
      <c r="J12" s="2">
        <v>10.46</v>
      </c>
      <c r="K12" s="2">
        <v>1</v>
      </c>
      <c r="L12" s="2">
        <v>3.8</v>
      </c>
      <c r="M12" s="2">
        <v>723060.76</v>
      </c>
      <c r="N12" s="2">
        <v>123131.24</v>
      </c>
    </row>
    <row r="13" spans="1:14" ht="14.25">
      <c r="A13" s="2" t="s">
        <v>19</v>
      </c>
      <c r="B13" s="3">
        <v>45748</v>
      </c>
      <c r="C13" s="2" t="s">
        <v>20</v>
      </c>
      <c r="D13" s="2" t="s">
        <v>21</v>
      </c>
      <c r="E13" s="2">
        <v>67979.88</v>
      </c>
      <c r="F13" s="2">
        <v>11230</v>
      </c>
      <c r="G13" s="2">
        <v>2E-3</v>
      </c>
      <c r="H13" s="2">
        <v>28</v>
      </c>
      <c r="I13" s="2">
        <v>85.3</v>
      </c>
      <c r="J13" s="2">
        <v>7.16</v>
      </c>
      <c r="K13" s="2">
        <v>0</v>
      </c>
      <c r="L13" s="2">
        <v>3.8</v>
      </c>
      <c r="M13" s="2">
        <v>910791.94</v>
      </c>
      <c r="N13" s="2">
        <v>158891.28</v>
      </c>
    </row>
    <row r="14" spans="1:14" ht="14.25">
      <c r="A14" s="2" t="s">
        <v>22</v>
      </c>
      <c r="B14" s="3">
        <v>45658</v>
      </c>
      <c r="C14" s="2" t="s">
        <v>15</v>
      </c>
      <c r="D14" s="2" t="s">
        <v>16</v>
      </c>
      <c r="E14" s="2">
        <v>71828.259999999995</v>
      </c>
      <c r="F14" s="2">
        <v>12775</v>
      </c>
      <c r="G14" s="2">
        <v>0.11600000000000001</v>
      </c>
      <c r="H14" s="2">
        <v>30</v>
      </c>
      <c r="I14" s="2">
        <v>81.7</v>
      </c>
      <c r="J14" s="2">
        <v>4.24</v>
      </c>
      <c r="K14" s="2">
        <v>1</v>
      </c>
      <c r="L14" s="2">
        <v>4.2</v>
      </c>
      <c r="M14" s="2">
        <v>922168.6</v>
      </c>
      <c r="N14" s="2">
        <v>107494.53</v>
      </c>
    </row>
    <row r="15" spans="1:14" ht="14.25">
      <c r="A15" s="2" t="s">
        <v>22</v>
      </c>
      <c r="B15" s="3">
        <v>45689</v>
      </c>
      <c r="C15" s="2" t="s">
        <v>15</v>
      </c>
      <c r="D15" s="2" t="s">
        <v>16</v>
      </c>
      <c r="E15" s="2">
        <v>55716.82</v>
      </c>
      <c r="F15" s="2">
        <v>10054</v>
      </c>
      <c r="G15" s="2">
        <v>0.14599999999999999</v>
      </c>
      <c r="H15" s="2">
        <v>24</v>
      </c>
      <c r="I15" s="2">
        <v>84.9</v>
      </c>
      <c r="J15" s="2">
        <v>1.06</v>
      </c>
      <c r="K15" s="2">
        <v>0</v>
      </c>
      <c r="L15" s="2">
        <v>4.3</v>
      </c>
      <c r="M15" s="2">
        <v>726606.28</v>
      </c>
      <c r="N15" s="2">
        <v>122729.29</v>
      </c>
    </row>
    <row r="16" spans="1:14" ht="14.25">
      <c r="A16" s="2" t="s">
        <v>22</v>
      </c>
      <c r="B16" s="3">
        <v>45717</v>
      </c>
      <c r="C16" s="2" t="s">
        <v>15</v>
      </c>
      <c r="D16" s="2" t="s">
        <v>16</v>
      </c>
      <c r="E16" s="2">
        <v>59909.51</v>
      </c>
      <c r="F16" s="2">
        <v>8895</v>
      </c>
      <c r="G16" s="2">
        <v>0.22800000000000001</v>
      </c>
      <c r="H16" s="2">
        <v>23</v>
      </c>
      <c r="I16" s="2">
        <v>88.8</v>
      </c>
      <c r="J16" s="2">
        <v>0.27</v>
      </c>
      <c r="K16" s="2">
        <v>0</v>
      </c>
      <c r="L16" s="2">
        <v>4.3</v>
      </c>
      <c r="M16" s="2">
        <v>746501.09</v>
      </c>
      <c r="N16" s="2">
        <v>136816.72</v>
      </c>
    </row>
    <row r="17" spans="1:14" ht="14.25">
      <c r="A17" s="2" t="s">
        <v>22</v>
      </c>
      <c r="B17" s="3">
        <v>45748</v>
      </c>
      <c r="C17" s="2" t="s">
        <v>15</v>
      </c>
      <c r="D17" s="2" t="s">
        <v>16</v>
      </c>
      <c r="E17" s="2">
        <v>75305.710000000006</v>
      </c>
      <c r="F17" s="2">
        <v>10940</v>
      </c>
      <c r="G17" s="2">
        <v>6.0000000000000001E-3</v>
      </c>
      <c r="H17" s="2">
        <v>26</v>
      </c>
      <c r="I17" s="2">
        <v>76.5</v>
      </c>
      <c r="J17" s="2">
        <v>1.32</v>
      </c>
      <c r="K17" s="2">
        <v>0</v>
      </c>
      <c r="L17" s="2">
        <v>4.5</v>
      </c>
      <c r="M17" s="2">
        <v>834017.02</v>
      </c>
      <c r="N17" s="2">
        <v>114745.03</v>
      </c>
    </row>
    <row r="18" spans="1:14" ht="14.25">
      <c r="A18" s="2" t="s">
        <v>23</v>
      </c>
      <c r="B18" s="3">
        <v>45658</v>
      </c>
      <c r="C18" s="2" t="s">
        <v>24</v>
      </c>
      <c r="D18" s="2" t="s">
        <v>16</v>
      </c>
      <c r="E18" s="2">
        <v>48804.22</v>
      </c>
      <c r="F18" s="2">
        <v>7057</v>
      </c>
      <c r="G18" s="2">
        <v>5.0000000000000001E-3</v>
      </c>
      <c r="H18" s="2">
        <v>15</v>
      </c>
      <c r="I18" s="2">
        <v>87.7</v>
      </c>
      <c r="J18" s="2">
        <v>1.22</v>
      </c>
      <c r="K18" s="2">
        <v>0</v>
      </c>
      <c r="L18" s="2">
        <v>3.7</v>
      </c>
      <c r="M18" s="2">
        <v>666152.52</v>
      </c>
      <c r="N18" s="2">
        <v>107490.58</v>
      </c>
    </row>
    <row r="19" spans="1:14" ht="14.25">
      <c r="A19" s="2" t="s">
        <v>23</v>
      </c>
      <c r="B19" s="3">
        <v>45689</v>
      </c>
      <c r="C19" s="2" t="s">
        <v>24</v>
      </c>
      <c r="D19" s="2" t="s">
        <v>16</v>
      </c>
      <c r="E19" s="2">
        <v>59117.9</v>
      </c>
      <c r="F19" s="2">
        <v>4263</v>
      </c>
      <c r="G19" s="2">
        <v>0.11899999999999999</v>
      </c>
      <c r="H19" s="2">
        <v>9</v>
      </c>
      <c r="I19" s="2">
        <v>87.6</v>
      </c>
      <c r="J19" s="2">
        <v>4.01</v>
      </c>
      <c r="K19" s="2">
        <v>0</v>
      </c>
      <c r="L19" s="2">
        <v>3.6</v>
      </c>
      <c r="M19" s="2">
        <v>573155.18999999994</v>
      </c>
      <c r="N19" s="2">
        <v>83680.75</v>
      </c>
    </row>
    <row r="20" spans="1:14" ht="14.25">
      <c r="A20" s="2" t="s">
        <v>23</v>
      </c>
      <c r="B20" s="3">
        <v>45717</v>
      </c>
      <c r="C20" s="2" t="s">
        <v>24</v>
      </c>
      <c r="D20" s="2" t="s">
        <v>16</v>
      </c>
      <c r="E20" s="2">
        <v>78831.12</v>
      </c>
      <c r="F20" s="2">
        <v>5538</v>
      </c>
      <c r="G20" s="2">
        <v>0</v>
      </c>
      <c r="H20" s="2">
        <v>15</v>
      </c>
      <c r="I20" s="2">
        <v>94.1</v>
      </c>
      <c r="J20" s="2">
        <v>0.2</v>
      </c>
      <c r="K20" s="2">
        <v>0</v>
      </c>
      <c r="L20" s="2">
        <v>3.9</v>
      </c>
      <c r="M20" s="2">
        <v>666573.19999999995</v>
      </c>
      <c r="N20" s="2">
        <v>140641.01999999999</v>
      </c>
    </row>
    <row r="21" spans="1:14" ht="15.75" customHeight="1">
      <c r="A21" s="2" t="s">
        <v>23</v>
      </c>
      <c r="B21" s="3">
        <v>45748</v>
      </c>
      <c r="C21" s="2" t="s">
        <v>24</v>
      </c>
      <c r="D21" s="2" t="s">
        <v>16</v>
      </c>
      <c r="E21" s="2">
        <v>41441.93</v>
      </c>
      <c r="F21" s="2">
        <v>4865</v>
      </c>
      <c r="G21" s="2">
        <v>0.158</v>
      </c>
      <c r="H21" s="2">
        <v>16</v>
      </c>
      <c r="I21" s="2">
        <v>88.3</v>
      </c>
      <c r="J21" s="2">
        <v>0.5</v>
      </c>
      <c r="K21" s="2">
        <v>0</v>
      </c>
      <c r="L21" s="2">
        <v>4</v>
      </c>
      <c r="M21" s="2">
        <v>591619.94999999995</v>
      </c>
      <c r="N21" s="2">
        <v>99521.35</v>
      </c>
    </row>
    <row r="22" spans="1:14" ht="15.75" customHeight="1">
      <c r="A22" s="2" t="s">
        <v>25</v>
      </c>
      <c r="B22" s="3">
        <v>45658</v>
      </c>
      <c r="C22" s="2" t="s">
        <v>20</v>
      </c>
      <c r="D22" s="2" t="s">
        <v>16</v>
      </c>
      <c r="E22" s="2">
        <v>30356.28</v>
      </c>
      <c r="F22" s="2">
        <v>2822</v>
      </c>
      <c r="G22" s="2">
        <v>0.23100000000000001</v>
      </c>
      <c r="H22" s="2">
        <v>9</v>
      </c>
      <c r="I22" s="2">
        <v>84.8</v>
      </c>
      <c r="J22" s="2">
        <v>6.95</v>
      </c>
      <c r="K22" s="2">
        <v>0</v>
      </c>
      <c r="L22" s="2">
        <v>5</v>
      </c>
      <c r="M22" s="2">
        <v>415721.82</v>
      </c>
      <c r="N22" s="2">
        <v>61179.15</v>
      </c>
    </row>
    <row r="23" spans="1:14" ht="15.75" customHeight="1">
      <c r="A23" s="2" t="s">
        <v>25</v>
      </c>
      <c r="B23" s="3">
        <v>45689</v>
      </c>
      <c r="C23" s="2" t="s">
        <v>20</v>
      </c>
      <c r="D23" s="2" t="s">
        <v>16</v>
      </c>
      <c r="E23" s="2">
        <v>33518.879999999997</v>
      </c>
      <c r="F23" s="2">
        <v>2121</v>
      </c>
      <c r="G23" s="2">
        <v>0.17599999999999999</v>
      </c>
      <c r="H23" s="2">
        <v>8</v>
      </c>
      <c r="I23" s="2">
        <v>88.5</v>
      </c>
      <c r="J23" s="2">
        <v>0.2</v>
      </c>
      <c r="K23" s="2">
        <v>0</v>
      </c>
      <c r="L23" s="2">
        <v>5</v>
      </c>
      <c r="M23" s="2">
        <v>491905.13</v>
      </c>
      <c r="N23" s="2">
        <v>79212.259999999995</v>
      </c>
    </row>
    <row r="24" spans="1:14" ht="15.75" customHeight="1">
      <c r="A24" s="2" t="s">
        <v>25</v>
      </c>
      <c r="B24" s="3">
        <v>45717</v>
      </c>
      <c r="C24" s="2" t="s">
        <v>20</v>
      </c>
      <c r="D24" s="2" t="s">
        <v>16</v>
      </c>
      <c r="E24" s="2">
        <v>42267.37</v>
      </c>
      <c r="F24" s="2">
        <v>3364</v>
      </c>
      <c r="G24" s="2">
        <v>0.16</v>
      </c>
      <c r="H24" s="2">
        <v>13</v>
      </c>
      <c r="I24" s="2">
        <v>82</v>
      </c>
      <c r="J24" s="2">
        <v>1.61</v>
      </c>
      <c r="K24" s="2">
        <v>1</v>
      </c>
      <c r="L24" s="2">
        <v>4.5999999999999996</v>
      </c>
      <c r="M24" s="2">
        <v>555929.4</v>
      </c>
      <c r="N24" s="2">
        <v>115201.76</v>
      </c>
    </row>
    <row r="25" spans="1:14" ht="15.75" customHeight="1">
      <c r="A25" s="2" t="s">
        <v>25</v>
      </c>
      <c r="B25" s="3">
        <v>45748</v>
      </c>
      <c r="C25" s="2" t="s">
        <v>20</v>
      </c>
      <c r="D25" s="2" t="s">
        <v>16</v>
      </c>
      <c r="E25" s="2">
        <v>62060.43</v>
      </c>
      <c r="F25" s="2">
        <v>2613</v>
      </c>
      <c r="G25" s="2">
        <v>0.216</v>
      </c>
      <c r="H25" s="2">
        <v>12</v>
      </c>
      <c r="I25" s="2">
        <v>92.1</v>
      </c>
      <c r="J25" s="2">
        <v>1.55</v>
      </c>
      <c r="K25" s="2">
        <v>0</v>
      </c>
      <c r="L25" s="2">
        <v>4.7</v>
      </c>
      <c r="M25" s="2">
        <v>565810.99</v>
      </c>
      <c r="N25" s="2">
        <v>77825.460000000006</v>
      </c>
    </row>
    <row r="26" spans="1:14" ht="15.75" customHeight="1">
      <c r="A26" s="2" t="s">
        <v>26</v>
      </c>
      <c r="B26" s="3">
        <v>45658</v>
      </c>
      <c r="C26" s="2" t="s">
        <v>27</v>
      </c>
      <c r="D26" s="2" t="s">
        <v>28</v>
      </c>
      <c r="E26" s="2">
        <v>57696.69</v>
      </c>
      <c r="F26" s="2">
        <v>10218</v>
      </c>
      <c r="G26" s="2">
        <v>0.121</v>
      </c>
      <c r="H26" s="2">
        <v>25</v>
      </c>
      <c r="I26" s="2">
        <v>94.8</v>
      </c>
      <c r="J26" s="2">
        <v>2.99</v>
      </c>
      <c r="K26" s="2">
        <v>0</v>
      </c>
      <c r="L26" s="2">
        <v>3.5</v>
      </c>
      <c r="M26" s="2">
        <v>811771.14</v>
      </c>
      <c r="N26" s="2">
        <v>148756.24</v>
      </c>
    </row>
    <row r="27" spans="1:14" ht="15.75" customHeight="1">
      <c r="A27" s="2" t="s">
        <v>26</v>
      </c>
      <c r="B27" s="3">
        <v>45689</v>
      </c>
      <c r="C27" s="2" t="s">
        <v>27</v>
      </c>
      <c r="D27" s="2" t="s">
        <v>28</v>
      </c>
      <c r="E27" s="2">
        <v>172415.52</v>
      </c>
      <c r="F27" s="2">
        <v>8927</v>
      </c>
      <c r="G27" s="2">
        <v>0.14000000000000001</v>
      </c>
      <c r="H27" s="2">
        <v>22</v>
      </c>
      <c r="I27" s="2">
        <v>86.2</v>
      </c>
      <c r="J27" s="2">
        <v>7.04</v>
      </c>
      <c r="K27" s="2">
        <v>0</v>
      </c>
      <c r="L27" s="2">
        <v>3.9</v>
      </c>
      <c r="M27" s="2">
        <v>800451.94</v>
      </c>
      <c r="N27" s="2">
        <v>111572.29</v>
      </c>
    </row>
    <row r="28" spans="1:14" ht="15.75" customHeight="1">
      <c r="A28" s="2" t="s">
        <v>26</v>
      </c>
      <c r="B28" s="3">
        <v>45717</v>
      </c>
      <c r="C28" s="2" t="s">
        <v>27</v>
      </c>
      <c r="D28" s="2" t="s">
        <v>28</v>
      </c>
      <c r="E28" s="2">
        <v>55270.52</v>
      </c>
      <c r="F28" s="2">
        <v>9315</v>
      </c>
      <c r="G28" s="2">
        <v>0.16900000000000001</v>
      </c>
      <c r="H28" s="2">
        <v>23</v>
      </c>
      <c r="I28" s="2">
        <v>91.9</v>
      </c>
      <c r="J28" s="2">
        <v>4.9400000000000004</v>
      </c>
      <c r="K28" s="2">
        <v>0</v>
      </c>
      <c r="L28" s="2">
        <v>4</v>
      </c>
      <c r="M28" s="2">
        <v>783672.82</v>
      </c>
      <c r="N28" s="2">
        <v>112577.14</v>
      </c>
    </row>
    <row r="29" spans="1:14" ht="15.75" customHeight="1">
      <c r="A29" s="2" t="s">
        <v>26</v>
      </c>
      <c r="B29" s="3">
        <v>45748</v>
      </c>
      <c r="C29" s="2" t="s">
        <v>27</v>
      </c>
      <c r="D29" s="2" t="s">
        <v>28</v>
      </c>
      <c r="E29" s="2">
        <v>52715.1</v>
      </c>
      <c r="F29" s="2">
        <v>7223</v>
      </c>
      <c r="G29" s="2">
        <v>0.122</v>
      </c>
      <c r="H29" s="2">
        <v>16</v>
      </c>
      <c r="I29" s="2">
        <v>84.2</v>
      </c>
      <c r="J29" s="2">
        <v>16.149999999999999</v>
      </c>
      <c r="K29" s="2">
        <v>0</v>
      </c>
      <c r="L29" s="2">
        <v>3.7</v>
      </c>
      <c r="M29" s="2">
        <v>701641.97</v>
      </c>
      <c r="N29" s="2">
        <v>106111.86</v>
      </c>
    </row>
    <row r="30" spans="1:14" ht="15.75" customHeight="1">
      <c r="A30" s="2" t="s">
        <v>29</v>
      </c>
      <c r="B30" s="3">
        <v>45658</v>
      </c>
      <c r="C30" s="2" t="s">
        <v>15</v>
      </c>
      <c r="D30" s="2" t="s">
        <v>16</v>
      </c>
      <c r="E30" s="2">
        <v>68600.62</v>
      </c>
      <c r="F30" s="2">
        <v>3988</v>
      </c>
      <c r="G30" s="2">
        <v>0.124</v>
      </c>
      <c r="H30" s="2">
        <v>11</v>
      </c>
      <c r="I30" s="2">
        <v>85</v>
      </c>
      <c r="J30" s="2">
        <v>0.48</v>
      </c>
      <c r="K30" s="2">
        <v>0</v>
      </c>
      <c r="L30" s="2">
        <v>3.6</v>
      </c>
      <c r="M30" s="2">
        <v>511844.41</v>
      </c>
      <c r="N30" s="2">
        <v>72774.44</v>
      </c>
    </row>
    <row r="31" spans="1:14" ht="15.75" customHeight="1">
      <c r="A31" s="2" t="s">
        <v>29</v>
      </c>
      <c r="B31" s="3">
        <v>45689</v>
      </c>
      <c r="C31" s="2" t="s">
        <v>15</v>
      </c>
      <c r="D31" s="2" t="s">
        <v>16</v>
      </c>
      <c r="E31" s="2">
        <v>63176.73</v>
      </c>
      <c r="F31" s="2">
        <v>2390</v>
      </c>
      <c r="G31" s="2">
        <v>0.216</v>
      </c>
      <c r="H31" s="2">
        <v>9</v>
      </c>
      <c r="I31" s="2">
        <v>87.5</v>
      </c>
      <c r="J31" s="2">
        <v>0.31</v>
      </c>
      <c r="K31" s="2">
        <v>0</v>
      </c>
      <c r="L31" s="2">
        <v>3.1</v>
      </c>
      <c r="M31" s="2">
        <v>537383.79</v>
      </c>
      <c r="N31" s="2">
        <v>63773.27</v>
      </c>
    </row>
    <row r="32" spans="1:14" ht="15.75" customHeight="1">
      <c r="A32" s="2" t="s">
        <v>29</v>
      </c>
      <c r="B32" s="3">
        <v>45717</v>
      </c>
      <c r="C32" s="2" t="s">
        <v>15</v>
      </c>
      <c r="D32" s="2" t="s">
        <v>16</v>
      </c>
      <c r="E32" s="2">
        <v>44970.080000000002</v>
      </c>
      <c r="F32" s="2">
        <v>2471</v>
      </c>
      <c r="G32" s="2">
        <v>0.13600000000000001</v>
      </c>
      <c r="H32" s="2">
        <v>11</v>
      </c>
      <c r="I32" s="2">
        <v>87.6</v>
      </c>
      <c r="J32" s="2">
        <v>3.01</v>
      </c>
      <c r="K32" s="2">
        <v>1</v>
      </c>
      <c r="L32" s="2">
        <v>3.7</v>
      </c>
      <c r="M32" s="2">
        <v>500173.02</v>
      </c>
      <c r="N32" s="2">
        <v>70982.05</v>
      </c>
    </row>
    <row r="33" spans="1:14" ht="15.75" customHeight="1">
      <c r="A33" s="2" t="s">
        <v>29</v>
      </c>
      <c r="B33" s="3">
        <v>45748</v>
      </c>
      <c r="C33" s="2" t="s">
        <v>15</v>
      </c>
      <c r="D33" s="2" t="s">
        <v>16</v>
      </c>
      <c r="E33" s="2">
        <v>69816.350000000006</v>
      </c>
      <c r="F33" s="2">
        <v>971</v>
      </c>
      <c r="G33" s="2">
        <v>0.16800000000000001</v>
      </c>
      <c r="H33" s="2">
        <v>5</v>
      </c>
      <c r="I33" s="2">
        <v>89.9</v>
      </c>
      <c r="J33" s="2">
        <v>12.15</v>
      </c>
      <c r="K33" s="2">
        <v>0</v>
      </c>
      <c r="L33" s="2">
        <v>3.6</v>
      </c>
      <c r="M33" s="2">
        <v>427917.38</v>
      </c>
      <c r="N33" s="2">
        <v>81824.31</v>
      </c>
    </row>
    <row r="34" spans="1:14" ht="15.75" customHeight="1">
      <c r="A34" s="2" t="s">
        <v>30</v>
      </c>
      <c r="B34" s="3">
        <v>45658</v>
      </c>
      <c r="C34" s="2" t="s">
        <v>20</v>
      </c>
      <c r="D34" s="2" t="s">
        <v>16</v>
      </c>
      <c r="E34" s="2">
        <v>54597.83</v>
      </c>
      <c r="F34" s="2">
        <v>9429</v>
      </c>
      <c r="G34" s="2">
        <v>0.188</v>
      </c>
      <c r="H34" s="2">
        <v>21</v>
      </c>
      <c r="I34" s="2">
        <v>83.3</v>
      </c>
      <c r="J34" s="2">
        <v>11.71</v>
      </c>
      <c r="K34" s="2">
        <v>0</v>
      </c>
      <c r="L34" s="2">
        <v>4.2</v>
      </c>
      <c r="M34" s="2">
        <v>641865.03</v>
      </c>
      <c r="N34" s="2">
        <v>81342.58</v>
      </c>
    </row>
    <row r="35" spans="1:14" ht="15.75" customHeight="1">
      <c r="A35" s="2" t="s">
        <v>30</v>
      </c>
      <c r="B35" s="3">
        <v>45689</v>
      </c>
      <c r="C35" s="2" t="s">
        <v>20</v>
      </c>
      <c r="D35" s="2" t="s">
        <v>16</v>
      </c>
      <c r="E35" s="2">
        <v>73771.91</v>
      </c>
      <c r="F35" s="2">
        <v>11695</v>
      </c>
      <c r="G35" s="2">
        <v>7.0000000000000007E-2</v>
      </c>
      <c r="H35" s="2">
        <v>25</v>
      </c>
      <c r="I35" s="2">
        <v>84.7</v>
      </c>
      <c r="J35" s="2">
        <v>0.62</v>
      </c>
      <c r="K35" s="2">
        <v>0</v>
      </c>
      <c r="L35" s="2"/>
      <c r="M35" s="2">
        <v>799477.76000000001</v>
      </c>
      <c r="N35" s="2">
        <v>164974.41</v>
      </c>
    </row>
    <row r="36" spans="1:14" ht="15.75" customHeight="1">
      <c r="A36" s="2" t="s">
        <v>30</v>
      </c>
      <c r="B36" s="3">
        <v>45717</v>
      </c>
      <c r="C36" s="2" t="s">
        <v>20</v>
      </c>
      <c r="D36" s="2" t="s">
        <v>16</v>
      </c>
      <c r="E36" s="2">
        <v>74413.88</v>
      </c>
      <c r="F36" s="2">
        <v>9449</v>
      </c>
      <c r="G36" s="2">
        <v>3.9E-2</v>
      </c>
      <c r="H36" s="2">
        <v>23</v>
      </c>
      <c r="I36" s="2">
        <v>92.1</v>
      </c>
      <c r="J36" s="2">
        <v>2.12</v>
      </c>
      <c r="K36" s="2">
        <v>0</v>
      </c>
      <c r="L36" s="2">
        <v>3.5</v>
      </c>
      <c r="M36" s="2">
        <v>798952.17</v>
      </c>
      <c r="N36" s="2">
        <v>161499.04</v>
      </c>
    </row>
    <row r="37" spans="1:14" ht="15.75" customHeight="1">
      <c r="A37" s="2" t="s">
        <v>30</v>
      </c>
      <c r="B37" s="3">
        <v>45748</v>
      </c>
      <c r="C37" s="2" t="s">
        <v>20</v>
      </c>
      <c r="D37" s="2" t="s">
        <v>16</v>
      </c>
      <c r="E37" s="2">
        <v>52483.77</v>
      </c>
      <c r="F37" s="2">
        <v>10453</v>
      </c>
      <c r="G37" s="2">
        <v>0.247</v>
      </c>
      <c r="H37" s="2">
        <v>25</v>
      </c>
      <c r="I37" s="2">
        <v>99</v>
      </c>
      <c r="J37" s="2">
        <v>6.31</v>
      </c>
      <c r="K37" s="2">
        <v>0</v>
      </c>
      <c r="L37" s="2">
        <v>3.6</v>
      </c>
      <c r="M37" s="2">
        <v>800979.78</v>
      </c>
      <c r="N37" s="2">
        <v>149242.26999999999</v>
      </c>
    </row>
    <row r="38" spans="1:14" ht="15.75" customHeight="1">
      <c r="A38" s="2" t="s">
        <v>31</v>
      </c>
      <c r="B38" s="3">
        <v>45658</v>
      </c>
      <c r="C38" s="2" t="s">
        <v>20</v>
      </c>
      <c r="D38" s="2" t="s">
        <v>28</v>
      </c>
      <c r="E38" s="2">
        <v>75269.87</v>
      </c>
      <c r="F38" s="2">
        <v>8838</v>
      </c>
      <c r="G38" s="2">
        <v>9.1999999999999998E-2</v>
      </c>
      <c r="H38" s="2">
        <v>21</v>
      </c>
      <c r="I38" s="2">
        <v>83.1</v>
      </c>
      <c r="J38" s="2">
        <v>9.56</v>
      </c>
      <c r="K38" s="2">
        <v>1</v>
      </c>
      <c r="L38" s="2">
        <v>4.2</v>
      </c>
      <c r="M38" s="2">
        <v>820593.93</v>
      </c>
      <c r="N38" s="2">
        <v>115860.06</v>
      </c>
    </row>
    <row r="39" spans="1:14" ht="15.75" customHeight="1">
      <c r="A39" s="2" t="s">
        <v>31</v>
      </c>
      <c r="B39" s="3">
        <v>45689</v>
      </c>
      <c r="C39" s="2" t="s">
        <v>20</v>
      </c>
      <c r="D39" s="2" t="s">
        <v>28</v>
      </c>
      <c r="E39" s="2">
        <v>61245.41</v>
      </c>
      <c r="F39" s="2">
        <v>8156</v>
      </c>
      <c r="G39" s="2">
        <v>0.156</v>
      </c>
      <c r="H39" s="2">
        <v>19</v>
      </c>
      <c r="I39" s="2">
        <v>92.9</v>
      </c>
      <c r="J39" s="2">
        <v>9.0500000000000007</v>
      </c>
      <c r="K39" s="2">
        <v>0</v>
      </c>
      <c r="L39" s="2">
        <v>3.8</v>
      </c>
      <c r="M39" s="2">
        <v>718330.53</v>
      </c>
      <c r="N39" s="2">
        <v>93247.9</v>
      </c>
    </row>
    <row r="40" spans="1:14" ht="15.75" customHeight="1">
      <c r="A40" s="2" t="s">
        <v>31</v>
      </c>
      <c r="B40" s="3">
        <v>45717</v>
      </c>
      <c r="C40" s="2" t="s">
        <v>20</v>
      </c>
      <c r="D40" s="2" t="s">
        <v>28</v>
      </c>
      <c r="E40" s="2">
        <v>93381.26</v>
      </c>
      <c r="F40" s="2">
        <v>7562</v>
      </c>
      <c r="G40" s="2">
        <v>0.19800000000000001</v>
      </c>
      <c r="H40" s="2">
        <v>19</v>
      </c>
      <c r="I40" s="2">
        <v>82.9</v>
      </c>
      <c r="J40" s="2">
        <v>5.05</v>
      </c>
      <c r="K40" s="2">
        <v>0</v>
      </c>
      <c r="L40" s="2">
        <v>4</v>
      </c>
      <c r="M40" s="2">
        <v>736633.4</v>
      </c>
      <c r="N40" s="2">
        <v>115654.66</v>
      </c>
    </row>
    <row r="41" spans="1:14" ht="15.75" customHeight="1">
      <c r="A41" s="2" t="s">
        <v>31</v>
      </c>
      <c r="B41" s="3">
        <v>45748</v>
      </c>
      <c r="C41" s="2" t="s">
        <v>20</v>
      </c>
      <c r="D41" s="2" t="s">
        <v>28</v>
      </c>
      <c r="E41" s="2">
        <v>65012.19</v>
      </c>
      <c r="F41" s="2">
        <v>9598</v>
      </c>
      <c r="G41" s="2">
        <v>8.5000000000000006E-2</v>
      </c>
      <c r="H41" s="2">
        <v>24</v>
      </c>
      <c r="I41" s="2">
        <v>98.3</v>
      </c>
      <c r="J41" s="2">
        <v>0.89</v>
      </c>
      <c r="K41" s="2">
        <v>0</v>
      </c>
      <c r="L41" s="2">
        <v>3.8</v>
      </c>
      <c r="M41" s="2">
        <v>828623.85</v>
      </c>
      <c r="N41" s="2">
        <v>167320.51999999999</v>
      </c>
    </row>
    <row r="42" spans="1:14" ht="15.75" customHeight="1">
      <c r="A42" s="2" t="s">
        <v>32</v>
      </c>
      <c r="B42" s="3">
        <v>45658</v>
      </c>
      <c r="C42" s="2" t="s">
        <v>15</v>
      </c>
      <c r="D42" s="2" t="s">
        <v>28</v>
      </c>
      <c r="E42" s="2">
        <v>40462.94</v>
      </c>
      <c r="F42" s="2">
        <v>3660</v>
      </c>
      <c r="G42" s="2">
        <v>0.218</v>
      </c>
      <c r="H42" s="2">
        <v>11</v>
      </c>
      <c r="I42" s="2">
        <v>95.2</v>
      </c>
      <c r="J42" s="2">
        <v>5.57</v>
      </c>
      <c r="K42" s="2">
        <v>0</v>
      </c>
      <c r="L42" s="2">
        <v>4.4000000000000004</v>
      </c>
      <c r="M42" s="2">
        <v>592195.85</v>
      </c>
      <c r="N42" s="2">
        <v>92291.56</v>
      </c>
    </row>
    <row r="43" spans="1:14" ht="15.75" customHeight="1">
      <c r="A43" s="2" t="s">
        <v>32</v>
      </c>
      <c r="B43" s="3">
        <v>45689</v>
      </c>
      <c r="C43" s="2" t="s">
        <v>15</v>
      </c>
      <c r="D43" s="2" t="s">
        <v>28</v>
      </c>
      <c r="E43" s="2">
        <v>46123.88</v>
      </c>
      <c r="F43" s="2">
        <v>3227</v>
      </c>
      <c r="G43" s="2">
        <v>0.14299999999999999</v>
      </c>
      <c r="H43" s="2">
        <v>10</v>
      </c>
      <c r="I43" s="2">
        <v>75.400000000000006</v>
      </c>
      <c r="J43" s="2">
        <v>1.06</v>
      </c>
      <c r="K43" s="2">
        <v>0</v>
      </c>
      <c r="L43" s="2">
        <v>4.4000000000000004</v>
      </c>
      <c r="M43" s="2">
        <v>532644.46</v>
      </c>
      <c r="N43" s="2">
        <v>60681.32</v>
      </c>
    </row>
    <row r="44" spans="1:14" ht="15.75" customHeight="1">
      <c r="A44" s="2" t="s">
        <v>32</v>
      </c>
      <c r="B44" s="3">
        <v>45717</v>
      </c>
      <c r="C44" s="2" t="s">
        <v>15</v>
      </c>
      <c r="D44" s="2" t="s">
        <v>28</v>
      </c>
      <c r="E44" s="2">
        <v>68077.539999999994</v>
      </c>
      <c r="F44" s="2">
        <v>3360</v>
      </c>
      <c r="G44" s="2">
        <v>0.128</v>
      </c>
      <c r="H44" s="2">
        <v>14</v>
      </c>
      <c r="I44" s="2">
        <v>88.2</v>
      </c>
      <c r="J44" s="2">
        <v>1.24</v>
      </c>
      <c r="K44" s="2">
        <v>1</v>
      </c>
      <c r="L44" s="2">
        <v>4</v>
      </c>
      <c r="M44" s="2">
        <v>657429.18000000005</v>
      </c>
      <c r="N44" s="2">
        <v>88919.74</v>
      </c>
    </row>
    <row r="45" spans="1:14" ht="15.75" customHeight="1">
      <c r="A45" s="2" t="s">
        <v>32</v>
      </c>
      <c r="B45" s="3">
        <v>45748</v>
      </c>
      <c r="C45" s="2" t="s">
        <v>15</v>
      </c>
      <c r="D45" s="2" t="s">
        <v>28</v>
      </c>
      <c r="E45" s="2">
        <v>64882.14</v>
      </c>
      <c r="F45" s="2">
        <v>3642</v>
      </c>
      <c r="G45" s="2">
        <v>1.9E-2</v>
      </c>
      <c r="H45" s="2">
        <v>13</v>
      </c>
      <c r="I45" s="2">
        <v>87.8</v>
      </c>
      <c r="J45" s="2">
        <v>4.5199999999999996</v>
      </c>
      <c r="K45" s="2">
        <v>0</v>
      </c>
      <c r="L45" s="2">
        <v>4.2</v>
      </c>
      <c r="M45" s="2">
        <v>605178</v>
      </c>
      <c r="N45" s="2">
        <v>106958.74</v>
      </c>
    </row>
    <row r="46" spans="1:14" ht="15.75" customHeight="1">
      <c r="A46" s="2" t="s">
        <v>33</v>
      </c>
      <c r="B46" s="3">
        <v>45658</v>
      </c>
      <c r="C46" s="2" t="s">
        <v>27</v>
      </c>
      <c r="D46" s="2" t="s">
        <v>16</v>
      </c>
      <c r="E46" s="2">
        <v>138855.51</v>
      </c>
      <c r="F46" s="2">
        <v>5145</v>
      </c>
      <c r="G46" s="2">
        <v>0.06</v>
      </c>
      <c r="H46" s="2">
        <v>17</v>
      </c>
      <c r="I46" s="2">
        <v>88.2</v>
      </c>
      <c r="J46" s="2">
        <v>9.58</v>
      </c>
      <c r="K46" s="2">
        <v>0</v>
      </c>
      <c r="L46" s="2">
        <v>3.2</v>
      </c>
      <c r="M46" s="2">
        <v>595467.6</v>
      </c>
      <c r="N46" s="2">
        <v>104276.46</v>
      </c>
    </row>
    <row r="47" spans="1:14" ht="15.75" customHeight="1">
      <c r="A47" s="2" t="s">
        <v>33</v>
      </c>
      <c r="B47" s="3">
        <v>45689</v>
      </c>
      <c r="C47" s="2" t="s">
        <v>27</v>
      </c>
      <c r="D47" s="2" t="s">
        <v>16</v>
      </c>
      <c r="E47" s="2">
        <v>63630.21</v>
      </c>
      <c r="F47" s="2">
        <v>4460</v>
      </c>
      <c r="G47" s="2">
        <v>0.23499999999999999</v>
      </c>
      <c r="H47" s="2">
        <v>14</v>
      </c>
      <c r="I47" s="2">
        <v>98.6</v>
      </c>
      <c r="J47" s="2">
        <v>5.52</v>
      </c>
      <c r="K47" s="2">
        <v>0</v>
      </c>
      <c r="L47" s="2">
        <v>3.5</v>
      </c>
      <c r="M47" s="2">
        <v>599603.4</v>
      </c>
      <c r="N47" s="2">
        <v>112685.12</v>
      </c>
    </row>
    <row r="48" spans="1:14" ht="15.75" customHeight="1">
      <c r="A48" s="2" t="s">
        <v>33</v>
      </c>
      <c r="B48" s="3">
        <v>45717</v>
      </c>
      <c r="C48" s="2" t="s">
        <v>27</v>
      </c>
      <c r="D48" s="2" t="s">
        <v>16</v>
      </c>
      <c r="E48" s="2">
        <v>50043.65</v>
      </c>
      <c r="F48" s="2">
        <v>3804</v>
      </c>
      <c r="G48" s="2">
        <v>0.113</v>
      </c>
      <c r="H48" s="2">
        <v>11</v>
      </c>
      <c r="I48" s="2">
        <v>90.9</v>
      </c>
      <c r="J48" s="2">
        <v>2.7</v>
      </c>
      <c r="K48" s="2">
        <v>1</v>
      </c>
      <c r="L48" s="2">
        <v>3.2</v>
      </c>
      <c r="M48" s="2">
        <v>614800.09</v>
      </c>
      <c r="N48" s="2">
        <v>100044.2</v>
      </c>
    </row>
    <row r="49" spans="1:14" ht="15.75" customHeight="1">
      <c r="A49" s="2" t="s">
        <v>33</v>
      </c>
      <c r="B49" s="3">
        <v>45748</v>
      </c>
      <c r="C49" s="2" t="s">
        <v>27</v>
      </c>
      <c r="D49" s="2" t="s">
        <v>16</v>
      </c>
      <c r="E49" s="2">
        <v>42093.84</v>
      </c>
      <c r="F49" s="2">
        <v>4074</v>
      </c>
      <c r="G49" s="2">
        <v>0.155</v>
      </c>
      <c r="H49" s="2">
        <v>15</v>
      </c>
      <c r="I49" s="2">
        <v>88</v>
      </c>
      <c r="J49" s="2">
        <v>9.64</v>
      </c>
      <c r="K49" s="2">
        <v>0</v>
      </c>
      <c r="L49" s="2">
        <v>3.3</v>
      </c>
      <c r="M49" s="2">
        <v>585365.73</v>
      </c>
      <c r="N49" s="2">
        <v>81011.520000000004</v>
      </c>
    </row>
    <row r="50" spans="1:14" ht="15.75" customHeight="1">
      <c r="A50" s="2" t="s">
        <v>34</v>
      </c>
      <c r="B50" s="3">
        <v>45658</v>
      </c>
      <c r="C50" s="2" t="s">
        <v>20</v>
      </c>
      <c r="D50" s="2" t="s">
        <v>28</v>
      </c>
      <c r="E50" s="2">
        <v>46624.05</v>
      </c>
      <c r="F50" s="2">
        <v>5104</v>
      </c>
      <c r="G50" s="2">
        <v>0.109</v>
      </c>
      <c r="H50" s="2">
        <v>11</v>
      </c>
      <c r="I50" s="2">
        <v>97.3</v>
      </c>
      <c r="J50" s="2">
        <v>3.49</v>
      </c>
      <c r="K50" s="2">
        <v>1</v>
      </c>
      <c r="L50" s="2">
        <v>4.7</v>
      </c>
      <c r="M50" s="2">
        <v>622811.74</v>
      </c>
      <c r="N50" s="2">
        <v>109978.35</v>
      </c>
    </row>
    <row r="51" spans="1:14" ht="15.75" customHeight="1">
      <c r="A51" s="2" t="s">
        <v>34</v>
      </c>
      <c r="B51" s="3">
        <v>45689</v>
      </c>
      <c r="C51" s="2" t="s">
        <v>20</v>
      </c>
      <c r="D51" s="2" t="s">
        <v>28</v>
      </c>
      <c r="E51" s="2">
        <v>49710.29</v>
      </c>
      <c r="F51" s="2">
        <v>5559</v>
      </c>
      <c r="G51" s="2">
        <v>0.218</v>
      </c>
      <c r="H51" s="2">
        <v>14</v>
      </c>
      <c r="I51" s="2">
        <v>71</v>
      </c>
      <c r="J51" s="2">
        <v>9.11</v>
      </c>
      <c r="K51" s="2">
        <v>0</v>
      </c>
      <c r="L51" s="2">
        <v>4.5999999999999996</v>
      </c>
      <c r="M51" s="2">
        <v>603297.56999999995</v>
      </c>
      <c r="N51" s="2">
        <v>60592.26</v>
      </c>
    </row>
    <row r="52" spans="1:14" ht="15.75" customHeight="1">
      <c r="A52" s="2" t="s">
        <v>34</v>
      </c>
      <c r="B52" s="3">
        <v>45717</v>
      </c>
      <c r="C52" s="2" t="s">
        <v>20</v>
      </c>
      <c r="D52" s="2" t="s">
        <v>28</v>
      </c>
      <c r="E52" s="2">
        <v>48287.85</v>
      </c>
      <c r="F52" s="2">
        <v>5150</v>
      </c>
      <c r="G52" s="2">
        <v>8.0000000000000002E-3</v>
      </c>
      <c r="H52" s="2">
        <v>12</v>
      </c>
      <c r="I52" s="2">
        <v>80.400000000000006</v>
      </c>
      <c r="J52" s="2">
        <v>7.4</v>
      </c>
      <c r="K52" s="2">
        <v>0</v>
      </c>
      <c r="L52" s="2">
        <v>4.5</v>
      </c>
      <c r="M52" s="2">
        <v>625672.86</v>
      </c>
      <c r="N52" s="2">
        <v>118020.12</v>
      </c>
    </row>
    <row r="53" spans="1:14" ht="15.75" customHeight="1">
      <c r="A53" s="2" t="s">
        <v>34</v>
      </c>
      <c r="B53" s="3">
        <v>45748</v>
      </c>
      <c r="C53" s="2" t="s">
        <v>20</v>
      </c>
      <c r="D53" s="2" t="s">
        <v>28</v>
      </c>
      <c r="E53" s="2">
        <v>65312.49</v>
      </c>
      <c r="F53" s="2">
        <v>7189</v>
      </c>
      <c r="G53" s="2">
        <v>0.05</v>
      </c>
      <c r="H53" s="2">
        <v>19</v>
      </c>
      <c r="I53" s="2">
        <v>93.7</v>
      </c>
      <c r="J53" s="2">
        <v>7.16</v>
      </c>
      <c r="K53" s="2">
        <v>0</v>
      </c>
      <c r="L53" s="2">
        <v>4.5999999999999996</v>
      </c>
      <c r="M53" s="2">
        <v>773815.14</v>
      </c>
      <c r="N53" s="2">
        <v>133948.39000000001</v>
      </c>
    </row>
    <row r="54" spans="1:14" ht="15.75" customHeight="1">
      <c r="A54" s="2" t="s">
        <v>35</v>
      </c>
      <c r="B54" s="3">
        <v>45658</v>
      </c>
      <c r="C54" s="2" t="s">
        <v>27</v>
      </c>
      <c r="D54" s="2" t="s">
        <v>18</v>
      </c>
      <c r="E54" s="2">
        <v>53015.46</v>
      </c>
      <c r="F54" s="2">
        <v>3279</v>
      </c>
      <c r="G54" s="2">
        <v>8.6999999999999994E-2</v>
      </c>
      <c r="H54" s="2">
        <v>9</v>
      </c>
      <c r="I54" s="2">
        <v>84.3</v>
      </c>
      <c r="J54" s="2">
        <v>22.02</v>
      </c>
      <c r="K54" s="2">
        <v>0</v>
      </c>
      <c r="L54" s="2">
        <v>3.9</v>
      </c>
      <c r="M54" s="2">
        <v>463534.25</v>
      </c>
      <c r="N54" s="2">
        <v>81834.539999999994</v>
      </c>
    </row>
    <row r="55" spans="1:14" ht="15.75" customHeight="1">
      <c r="A55" s="2" t="s">
        <v>35</v>
      </c>
      <c r="B55" s="3">
        <v>45689</v>
      </c>
      <c r="C55" s="2" t="s">
        <v>27</v>
      </c>
      <c r="D55" s="2" t="s">
        <v>18</v>
      </c>
      <c r="E55" s="2">
        <v>99874.01</v>
      </c>
      <c r="F55" s="2">
        <v>5887</v>
      </c>
      <c r="G55" s="2">
        <v>0.26200000000000001</v>
      </c>
      <c r="H55" s="2">
        <v>14</v>
      </c>
      <c r="I55" s="2">
        <v>88.7</v>
      </c>
      <c r="J55" s="2">
        <v>6.18</v>
      </c>
      <c r="K55" s="2">
        <v>0</v>
      </c>
      <c r="L55" s="2">
        <v>4.7</v>
      </c>
      <c r="M55" s="2">
        <v>746677.75</v>
      </c>
      <c r="N55" s="2">
        <v>122437.84</v>
      </c>
    </row>
    <row r="56" spans="1:14" ht="15.75" customHeight="1">
      <c r="A56" s="2" t="s">
        <v>35</v>
      </c>
      <c r="B56" s="3">
        <v>45717</v>
      </c>
      <c r="C56" s="2" t="s">
        <v>27</v>
      </c>
      <c r="D56" s="2" t="s">
        <v>18</v>
      </c>
      <c r="E56" s="2">
        <v>81195.5</v>
      </c>
      <c r="F56" s="2">
        <v>5516</v>
      </c>
      <c r="G56" s="2">
        <v>0.106</v>
      </c>
      <c r="H56" s="2">
        <v>14</v>
      </c>
      <c r="I56" s="2">
        <v>88</v>
      </c>
      <c r="J56" s="2">
        <v>1.76</v>
      </c>
      <c r="K56" s="2">
        <v>0</v>
      </c>
      <c r="L56" s="2">
        <v>4.3</v>
      </c>
      <c r="M56" s="2">
        <v>720852.5</v>
      </c>
      <c r="N56" s="2">
        <v>98565.62</v>
      </c>
    </row>
    <row r="57" spans="1:14" ht="15.75" customHeight="1">
      <c r="A57" s="2" t="s">
        <v>35</v>
      </c>
      <c r="B57" s="3">
        <v>45748</v>
      </c>
      <c r="C57" s="2" t="s">
        <v>27</v>
      </c>
      <c r="D57" s="2" t="s">
        <v>18</v>
      </c>
      <c r="E57" s="2">
        <v>27808.6</v>
      </c>
      <c r="F57" s="2">
        <v>2863</v>
      </c>
      <c r="G57" s="2">
        <v>0.08</v>
      </c>
      <c r="H57" s="2">
        <v>13</v>
      </c>
      <c r="I57" s="2">
        <v>89.3</v>
      </c>
      <c r="J57" s="2">
        <v>0.47</v>
      </c>
      <c r="K57" s="2">
        <v>0</v>
      </c>
      <c r="L57" s="2">
        <v>4.0999999999999996</v>
      </c>
      <c r="M57" s="2">
        <v>487464.91</v>
      </c>
      <c r="N57" s="2">
        <v>64562.26</v>
      </c>
    </row>
    <row r="58" spans="1:14" ht="15.75" customHeight="1">
      <c r="A58" s="2" t="s">
        <v>36</v>
      </c>
      <c r="B58" s="3">
        <v>45658</v>
      </c>
      <c r="C58" s="2" t="s">
        <v>15</v>
      </c>
      <c r="D58" s="2" t="s">
        <v>21</v>
      </c>
      <c r="E58" s="2">
        <v>19365.060000000001</v>
      </c>
      <c r="F58" s="2">
        <v>2378</v>
      </c>
      <c r="G58" s="2">
        <v>0</v>
      </c>
      <c r="H58" s="2">
        <v>12</v>
      </c>
      <c r="I58" s="2">
        <v>94.8</v>
      </c>
      <c r="J58" s="2">
        <v>0.2</v>
      </c>
      <c r="K58" s="2">
        <v>0</v>
      </c>
      <c r="L58" s="2">
        <v>3.5</v>
      </c>
      <c r="M58" s="2">
        <v>518049.26</v>
      </c>
      <c r="N58" s="2">
        <v>108592.49</v>
      </c>
    </row>
    <row r="59" spans="1:14" ht="15.75" customHeight="1">
      <c r="A59" s="2" t="s">
        <v>36</v>
      </c>
      <c r="B59" s="3">
        <v>45689</v>
      </c>
      <c r="C59" s="2" t="s">
        <v>15</v>
      </c>
      <c r="D59" s="2" t="s">
        <v>21</v>
      </c>
      <c r="E59" s="2">
        <v>59405.68</v>
      </c>
      <c r="F59" s="2">
        <v>2515</v>
      </c>
      <c r="G59" s="2">
        <v>3.9E-2</v>
      </c>
      <c r="H59" s="2">
        <v>12</v>
      </c>
      <c r="I59" s="2">
        <v>76</v>
      </c>
      <c r="J59" s="2">
        <v>5.1100000000000003</v>
      </c>
      <c r="K59" s="2">
        <v>0</v>
      </c>
      <c r="L59" s="2">
        <v>3.7</v>
      </c>
      <c r="M59" s="2">
        <v>500298.48</v>
      </c>
      <c r="N59" s="2">
        <v>73461.320000000007</v>
      </c>
    </row>
    <row r="60" spans="1:14" ht="15.75" customHeight="1">
      <c r="A60" s="2" t="s">
        <v>36</v>
      </c>
      <c r="B60" s="3">
        <v>45717</v>
      </c>
      <c r="C60" s="2" t="s">
        <v>15</v>
      </c>
      <c r="D60" s="2" t="s">
        <v>21</v>
      </c>
      <c r="E60" s="2">
        <v>118910.48</v>
      </c>
      <c r="F60" s="2">
        <v>4022</v>
      </c>
      <c r="G60" s="2">
        <v>0.13700000000000001</v>
      </c>
      <c r="H60" s="2">
        <v>11</v>
      </c>
      <c r="I60" s="2">
        <v>87.1</v>
      </c>
      <c r="J60" s="2">
        <v>0.2</v>
      </c>
      <c r="K60" s="2">
        <v>0</v>
      </c>
      <c r="L60" s="2">
        <v>3.1</v>
      </c>
      <c r="M60" s="2">
        <v>617291.15</v>
      </c>
      <c r="N60" s="2">
        <v>117782</v>
      </c>
    </row>
    <row r="61" spans="1:14" ht="15.75" customHeight="1">
      <c r="A61" s="2" t="s">
        <v>36</v>
      </c>
      <c r="B61" s="3">
        <v>45748</v>
      </c>
      <c r="C61" s="2" t="s">
        <v>15</v>
      </c>
      <c r="D61" s="2" t="s">
        <v>21</v>
      </c>
      <c r="E61" s="2">
        <v>52952.12</v>
      </c>
      <c r="F61" s="2">
        <v>4377</v>
      </c>
      <c r="G61" s="2">
        <v>9.1999999999999998E-2</v>
      </c>
      <c r="H61" s="2">
        <v>14</v>
      </c>
      <c r="I61" s="2">
        <v>88.6</v>
      </c>
      <c r="J61" s="2">
        <v>13.59</v>
      </c>
      <c r="K61" s="2">
        <v>0</v>
      </c>
      <c r="L61" s="2">
        <v>3.1</v>
      </c>
      <c r="M61" s="2">
        <v>553756.43000000005</v>
      </c>
      <c r="N61" s="2">
        <v>86166.77</v>
      </c>
    </row>
    <row r="62" spans="1:14" ht="15.75" customHeight="1">
      <c r="A62" s="2" t="s">
        <v>37</v>
      </c>
      <c r="B62" s="3">
        <v>45658</v>
      </c>
      <c r="C62" s="2" t="s">
        <v>24</v>
      </c>
      <c r="D62" s="2" t="s">
        <v>18</v>
      </c>
      <c r="E62" s="2">
        <v>74907.98</v>
      </c>
      <c r="F62" s="2">
        <v>5306</v>
      </c>
      <c r="G62" s="2">
        <v>6.2E-2</v>
      </c>
      <c r="H62" s="2">
        <v>16</v>
      </c>
      <c r="I62" s="2">
        <v>95.6</v>
      </c>
      <c r="J62" s="2">
        <v>1.02</v>
      </c>
      <c r="K62" s="2">
        <v>0</v>
      </c>
      <c r="L62" s="2">
        <v>3.7</v>
      </c>
      <c r="M62" s="2">
        <v>749559.71</v>
      </c>
      <c r="N62" s="2">
        <v>144522.53</v>
      </c>
    </row>
    <row r="63" spans="1:14" ht="15.75" customHeight="1">
      <c r="A63" s="2" t="s">
        <v>37</v>
      </c>
      <c r="B63" s="3">
        <v>45689</v>
      </c>
      <c r="C63" s="2" t="s">
        <v>24</v>
      </c>
      <c r="D63" s="2" t="s">
        <v>18</v>
      </c>
      <c r="E63" s="2">
        <v>37284.660000000003</v>
      </c>
      <c r="F63" s="2">
        <v>3928</v>
      </c>
      <c r="G63" s="2">
        <v>7.3999999999999996E-2</v>
      </c>
      <c r="H63" s="2">
        <v>12</v>
      </c>
      <c r="I63" s="2">
        <v>86.5</v>
      </c>
      <c r="J63" s="2">
        <v>1.64</v>
      </c>
      <c r="K63" s="2">
        <v>0</v>
      </c>
      <c r="L63" s="2">
        <v>3.8</v>
      </c>
      <c r="M63" s="2">
        <v>615966.48</v>
      </c>
      <c r="N63" s="2">
        <v>91509.38</v>
      </c>
    </row>
    <row r="64" spans="1:14" ht="15.75" customHeight="1">
      <c r="A64" s="2" t="s">
        <v>37</v>
      </c>
      <c r="B64" s="3">
        <v>45717</v>
      </c>
      <c r="C64" s="2" t="s">
        <v>24</v>
      </c>
      <c r="D64" s="2" t="s">
        <v>18</v>
      </c>
      <c r="E64" s="2">
        <v>50343.19</v>
      </c>
      <c r="F64" s="2">
        <v>3845</v>
      </c>
      <c r="G64" s="2">
        <v>0.113</v>
      </c>
      <c r="H64" s="2">
        <v>9</v>
      </c>
      <c r="I64" s="2">
        <v>88.7</v>
      </c>
      <c r="J64" s="2">
        <v>5.15</v>
      </c>
      <c r="K64" s="2">
        <v>0</v>
      </c>
      <c r="L64" s="2">
        <v>3.3</v>
      </c>
      <c r="M64" s="2">
        <v>572011.19999999995</v>
      </c>
      <c r="N64" s="2">
        <v>101409.68</v>
      </c>
    </row>
    <row r="65" spans="1:14" ht="15.75" customHeight="1">
      <c r="A65" s="2" t="s">
        <v>37</v>
      </c>
      <c r="B65" s="3">
        <v>45748</v>
      </c>
      <c r="C65" s="2" t="s">
        <v>24</v>
      </c>
      <c r="D65" s="2" t="s">
        <v>18</v>
      </c>
      <c r="E65" s="2">
        <v>74954.47</v>
      </c>
      <c r="F65" s="2">
        <v>6620</v>
      </c>
      <c r="G65" s="2">
        <v>5.3999999999999999E-2</v>
      </c>
      <c r="H65" s="2">
        <v>17</v>
      </c>
      <c r="I65" s="2">
        <v>91.1</v>
      </c>
      <c r="J65" s="2">
        <v>1.1100000000000001</v>
      </c>
      <c r="K65" s="2">
        <v>0</v>
      </c>
      <c r="L65" s="2">
        <v>3.5</v>
      </c>
      <c r="M65" s="2">
        <v>761860.19</v>
      </c>
      <c r="N65" s="2">
        <v>133279.38</v>
      </c>
    </row>
    <row r="66" spans="1:14" ht="15.75" customHeight="1">
      <c r="A66" s="2" t="s">
        <v>38</v>
      </c>
      <c r="B66" s="3">
        <v>45658</v>
      </c>
      <c r="C66" s="2" t="s">
        <v>27</v>
      </c>
      <c r="D66" s="2" t="s">
        <v>18</v>
      </c>
      <c r="E66" s="2">
        <v>70040.31</v>
      </c>
      <c r="F66" s="2">
        <v>9175</v>
      </c>
      <c r="G66" s="2">
        <v>0.107</v>
      </c>
      <c r="H66" s="2">
        <v>23</v>
      </c>
      <c r="I66" s="2">
        <v>95.1</v>
      </c>
      <c r="J66" s="2">
        <v>6.08</v>
      </c>
      <c r="K66" s="2">
        <v>1</v>
      </c>
      <c r="L66" s="2">
        <v>3.4</v>
      </c>
      <c r="M66" s="2">
        <v>784502.68</v>
      </c>
      <c r="N66" s="2">
        <v>129519.72</v>
      </c>
    </row>
    <row r="67" spans="1:14" ht="15.75" customHeight="1">
      <c r="A67" s="2" t="s">
        <v>38</v>
      </c>
      <c r="B67" s="3">
        <v>45689</v>
      </c>
      <c r="C67" s="2" t="s">
        <v>27</v>
      </c>
      <c r="D67" s="2" t="s">
        <v>18</v>
      </c>
      <c r="E67" s="2">
        <v>51148.69</v>
      </c>
      <c r="F67" s="2">
        <v>7940</v>
      </c>
      <c r="G67" s="2">
        <v>0.156</v>
      </c>
      <c r="H67" s="2">
        <v>18</v>
      </c>
      <c r="I67" s="2">
        <v>93.3</v>
      </c>
      <c r="J67" s="2">
        <v>10.91</v>
      </c>
      <c r="K67" s="2">
        <v>0</v>
      </c>
      <c r="L67" s="2">
        <v>3.6</v>
      </c>
      <c r="M67" s="2">
        <v>717141.55</v>
      </c>
      <c r="N67" s="2">
        <v>134013.60999999999</v>
      </c>
    </row>
    <row r="68" spans="1:14" ht="15.75" customHeight="1">
      <c r="A68" s="2" t="s">
        <v>38</v>
      </c>
      <c r="B68" s="3">
        <v>45717</v>
      </c>
      <c r="C68" s="2" t="s">
        <v>27</v>
      </c>
      <c r="D68" s="2" t="s">
        <v>18</v>
      </c>
      <c r="E68" s="2">
        <v>79346.100000000006</v>
      </c>
      <c r="F68" s="2">
        <v>9628</v>
      </c>
      <c r="G68" s="2">
        <v>0.10199999999999999</v>
      </c>
      <c r="H68" s="2">
        <v>20</v>
      </c>
      <c r="I68" s="2">
        <v>99</v>
      </c>
      <c r="J68" s="2">
        <v>19.010000000000002</v>
      </c>
      <c r="K68" s="2">
        <v>1</v>
      </c>
      <c r="L68" s="2">
        <v>3.2</v>
      </c>
      <c r="M68" s="2">
        <v>685379.08</v>
      </c>
      <c r="N68" s="2">
        <v>106898.82</v>
      </c>
    </row>
    <row r="69" spans="1:14" ht="15.75" customHeight="1">
      <c r="A69" s="2" t="s">
        <v>38</v>
      </c>
      <c r="B69" s="3">
        <v>45748</v>
      </c>
      <c r="C69" s="2" t="s">
        <v>27</v>
      </c>
      <c r="D69" s="2" t="s">
        <v>18</v>
      </c>
      <c r="E69" s="2">
        <v>42018.400000000001</v>
      </c>
      <c r="F69" s="2">
        <v>8296</v>
      </c>
      <c r="G69" s="2">
        <v>0.115</v>
      </c>
      <c r="H69" s="2">
        <v>17</v>
      </c>
      <c r="I69" s="2">
        <v>91.8</v>
      </c>
      <c r="J69" s="2">
        <v>0.77</v>
      </c>
      <c r="K69" s="2">
        <v>0</v>
      </c>
      <c r="L69" s="2">
        <v>3.4</v>
      </c>
      <c r="M69" s="2">
        <v>740496.65</v>
      </c>
      <c r="N69" s="2">
        <v>128020.9</v>
      </c>
    </row>
    <row r="70" spans="1:14" ht="15.75" customHeight="1">
      <c r="A70" s="2" t="s">
        <v>39</v>
      </c>
      <c r="B70" s="3">
        <v>45658</v>
      </c>
      <c r="C70" s="2" t="s">
        <v>15</v>
      </c>
      <c r="D70" s="2" t="s">
        <v>18</v>
      </c>
      <c r="E70" s="2">
        <v>70937.240000000005</v>
      </c>
      <c r="F70" s="2">
        <v>3595</v>
      </c>
      <c r="G70" s="2">
        <v>0.14099999999999999</v>
      </c>
      <c r="H70" s="2">
        <v>11</v>
      </c>
      <c r="I70" s="2">
        <v>88.9</v>
      </c>
      <c r="J70" s="2">
        <v>2.83</v>
      </c>
      <c r="K70" s="2">
        <v>1</v>
      </c>
      <c r="L70" s="2">
        <v>3.3</v>
      </c>
      <c r="M70" s="2">
        <v>661927.14</v>
      </c>
      <c r="N70" s="2">
        <v>79218.570000000007</v>
      </c>
    </row>
    <row r="71" spans="1:14" ht="15.75" customHeight="1">
      <c r="A71" s="2" t="s">
        <v>39</v>
      </c>
      <c r="B71" s="3">
        <v>45689</v>
      </c>
      <c r="C71" s="2" t="s">
        <v>15</v>
      </c>
      <c r="D71" s="2" t="s">
        <v>18</v>
      </c>
      <c r="E71" s="2">
        <v>36813.449999999997</v>
      </c>
      <c r="F71" s="2">
        <v>2834</v>
      </c>
      <c r="G71" s="2">
        <v>0.191</v>
      </c>
      <c r="H71" s="2">
        <v>11</v>
      </c>
      <c r="I71" s="2">
        <v>81.8</v>
      </c>
      <c r="J71" s="2">
        <v>2.33</v>
      </c>
      <c r="K71" s="2">
        <v>0</v>
      </c>
      <c r="L71" s="2">
        <v>3.3</v>
      </c>
      <c r="M71" s="2">
        <v>479050.5</v>
      </c>
      <c r="N71" s="2">
        <v>53651.11</v>
      </c>
    </row>
    <row r="72" spans="1:14" ht="15.75" customHeight="1">
      <c r="A72" s="2" t="s">
        <v>39</v>
      </c>
      <c r="B72" s="3">
        <v>45717</v>
      </c>
      <c r="C72" s="2" t="s">
        <v>15</v>
      </c>
      <c r="D72" s="2" t="s">
        <v>18</v>
      </c>
      <c r="E72" s="2">
        <v>60571.82</v>
      </c>
      <c r="F72" s="2">
        <v>3193</v>
      </c>
      <c r="G72" s="2">
        <v>0.19700000000000001</v>
      </c>
      <c r="H72" s="2">
        <v>7</v>
      </c>
      <c r="I72" s="2">
        <v>99</v>
      </c>
      <c r="J72" s="2">
        <v>1.43</v>
      </c>
      <c r="K72" s="2">
        <v>0</v>
      </c>
      <c r="L72" s="2">
        <v>3.2</v>
      </c>
      <c r="M72" s="2">
        <v>605023.87</v>
      </c>
      <c r="N72" s="2">
        <v>98545.81</v>
      </c>
    </row>
    <row r="73" spans="1:14" ht="15.75" customHeight="1">
      <c r="A73" s="2" t="s">
        <v>39</v>
      </c>
      <c r="B73" s="3">
        <v>45748</v>
      </c>
      <c r="C73" s="2" t="s">
        <v>15</v>
      </c>
      <c r="D73" s="2" t="s">
        <v>18</v>
      </c>
      <c r="E73" s="2">
        <v>55081.16</v>
      </c>
      <c r="F73" s="2">
        <v>5485</v>
      </c>
      <c r="G73" s="2">
        <v>3.5999999999999997E-2</v>
      </c>
      <c r="H73" s="2">
        <v>12</v>
      </c>
      <c r="I73" s="2">
        <v>88</v>
      </c>
      <c r="J73" s="2"/>
      <c r="K73" s="2">
        <v>0</v>
      </c>
      <c r="L73" s="2">
        <v>3.5</v>
      </c>
      <c r="M73" s="2">
        <v>674774.09</v>
      </c>
      <c r="N73" s="2">
        <v>141917.59</v>
      </c>
    </row>
    <row r="74" spans="1:14" ht="15.75" customHeight="1">
      <c r="A74" s="2" t="s">
        <v>40</v>
      </c>
      <c r="B74" s="3">
        <v>45658</v>
      </c>
      <c r="C74" s="2" t="s">
        <v>15</v>
      </c>
      <c r="D74" s="2" t="s">
        <v>16</v>
      </c>
      <c r="E74" s="2">
        <v>46201.46</v>
      </c>
      <c r="F74" s="2">
        <v>5918</v>
      </c>
      <c r="G74" s="2">
        <v>0.27700000000000002</v>
      </c>
      <c r="H74" s="2">
        <v>13</v>
      </c>
      <c r="I74" s="2">
        <v>78.8</v>
      </c>
      <c r="J74" s="2">
        <v>4.91</v>
      </c>
      <c r="K74" s="2">
        <v>0</v>
      </c>
      <c r="L74" s="2">
        <v>4.5</v>
      </c>
      <c r="M74" s="2">
        <v>616069.41</v>
      </c>
      <c r="N74" s="2">
        <v>54453.99</v>
      </c>
    </row>
    <row r="75" spans="1:14" ht="15.75" customHeight="1">
      <c r="A75" s="2" t="s">
        <v>40</v>
      </c>
      <c r="B75" s="3">
        <v>45689</v>
      </c>
      <c r="C75" s="2" t="s">
        <v>15</v>
      </c>
      <c r="D75" s="2" t="s">
        <v>16</v>
      </c>
      <c r="E75" s="2">
        <v>53762.92</v>
      </c>
      <c r="F75" s="2">
        <v>6821</v>
      </c>
      <c r="G75" s="2">
        <v>6.6000000000000003E-2</v>
      </c>
      <c r="H75" s="2">
        <v>19</v>
      </c>
      <c r="I75" s="2">
        <v>94.6</v>
      </c>
      <c r="J75" s="2">
        <v>7.03</v>
      </c>
      <c r="K75" s="2">
        <v>0</v>
      </c>
      <c r="L75" s="2">
        <v>4.4000000000000004</v>
      </c>
      <c r="M75" s="2">
        <v>630829.93999999994</v>
      </c>
      <c r="N75" s="2">
        <v>117090.02</v>
      </c>
    </row>
    <row r="76" spans="1:14" ht="15.75" customHeight="1">
      <c r="A76" s="2" t="s">
        <v>40</v>
      </c>
      <c r="B76" s="3">
        <v>45717</v>
      </c>
      <c r="C76" s="2" t="s">
        <v>15</v>
      </c>
      <c r="D76" s="2" t="s">
        <v>16</v>
      </c>
      <c r="E76" s="2">
        <v>70144.78</v>
      </c>
      <c r="F76" s="2">
        <v>6806</v>
      </c>
      <c r="G76" s="2">
        <v>0.17799999999999999</v>
      </c>
      <c r="H76" s="2">
        <v>20</v>
      </c>
      <c r="I76" s="2">
        <v>93.1</v>
      </c>
      <c r="J76" s="2">
        <v>0.28000000000000003</v>
      </c>
      <c r="K76" s="2">
        <v>1</v>
      </c>
      <c r="L76" s="2">
        <v>4.3</v>
      </c>
      <c r="M76" s="2">
        <v>788087.68</v>
      </c>
      <c r="N76" s="2">
        <v>116803.42</v>
      </c>
    </row>
    <row r="77" spans="1:14" ht="15.75" customHeight="1">
      <c r="A77" s="2" t="s">
        <v>40</v>
      </c>
      <c r="B77" s="3">
        <v>45748</v>
      </c>
      <c r="C77" s="2" t="s">
        <v>15</v>
      </c>
      <c r="D77" s="2" t="s">
        <v>16</v>
      </c>
      <c r="E77" s="2">
        <v>58749.63</v>
      </c>
      <c r="F77" s="2">
        <v>8252</v>
      </c>
      <c r="G77" s="2">
        <v>0.20300000000000001</v>
      </c>
      <c r="H77" s="2">
        <v>20</v>
      </c>
      <c r="I77" s="2">
        <v>85.2</v>
      </c>
      <c r="J77" s="2">
        <v>3.61</v>
      </c>
      <c r="K77" s="2">
        <v>0</v>
      </c>
      <c r="L77" s="2">
        <v>4.5</v>
      </c>
      <c r="M77" s="2">
        <v>680840.36</v>
      </c>
      <c r="N77" s="2">
        <v>68007.679999999993</v>
      </c>
    </row>
    <row r="78" spans="1:14" ht="15.75" customHeight="1">
      <c r="A78" s="2" t="s">
        <v>41</v>
      </c>
      <c r="B78" s="3">
        <v>45658</v>
      </c>
      <c r="C78" s="2" t="s">
        <v>24</v>
      </c>
      <c r="D78" s="2" t="s">
        <v>18</v>
      </c>
      <c r="E78" s="2">
        <v>56973.18</v>
      </c>
      <c r="F78" s="2">
        <v>6662</v>
      </c>
      <c r="G78" s="2">
        <v>0.1</v>
      </c>
      <c r="H78" s="2">
        <v>15</v>
      </c>
      <c r="I78" s="2">
        <v>77.7</v>
      </c>
      <c r="J78" s="2">
        <v>7.52</v>
      </c>
      <c r="K78" s="2">
        <v>1</v>
      </c>
      <c r="L78" s="2">
        <v>3.2</v>
      </c>
      <c r="M78" s="2">
        <v>643657.47</v>
      </c>
      <c r="N78" s="2">
        <v>87022.45</v>
      </c>
    </row>
    <row r="79" spans="1:14" ht="15.75" customHeight="1">
      <c r="A79" s="2" t="s">
        <v>41</v>
      </c>
      <c r="B79" s="3">
        <v>45689</v>
      </c>
      <c r="C79" s="2" t="s">
        <v>24</v>
      </c>
      <c r="D79" s="2" t="s">
        <v>18</v>
      </c>
      <c r="E79" s="2">
        <v>54872.82</v>
      </c>
      <c r="F79" s="2">
        <v>5962</v>
      </c>
      <c r="G79" s="2">
        <v>6.4000000000000001E-2</v>
      </c>
      <c r="H79" s="2">
        <v>12</v>
      </c>
      <c r="I79" s="2">
        <v>85.4</v>
      </c>
      <c r="J79" s="2">
        <v>2.58</v>
      </c>
      <c r="K79" s="2">
        <v>0</v>
      </c>
      <c r="L79" s="2">
        <v>2.9</v>
      </c>
      <c r="M79" s="2">
        <v>691112.6</v>
      </c>
      <c r="N79" s="2">
        <v>109212.83</v>
      </c>
    </row>
    <row r="80" spans="1:14" ht="15.75" customHeight="1">
      <c r="A80" s="2" t="s">
        <v>41</v>
      </c>
      <c r="B80" s="3">
        <v>45717</v>
      </c>
      <c r="C80" s="2" t="s">
        <v>24</v>
      </c>
      <c r="D80" s="2" t="s">
        <v>18</v>
      </c>
      <c r="E80" s="2">
        <v>80562.81</v>
      </c>
      <c r="F80" s="2">
        <v>7470</v>
      </c>
      <c r="G80" s="2">
        <v>0.17199999999999999</v>
      </c>
      <c r="H80" s="2">
        <v>16</v>
      </c>
      <c r="I80" s="2">
        <v>83.5</v>
      </c>
      <c r="J80" s="2">
        <v>2.29</v>
      </c>
      <c r="K80" s="2">
        <v>0</v>
      </c>
      <c r="L80" s="2">
        <v>3.3</v>
      </c>
      <c r="M80" s="2">
        <v>776922.17</v>
      </c>
      <c r="N80" s="2">
        <v>150701.93</v>
      </c>
    </row>
    <row r="81" spans="1:14" ht="15.75" customHeight="1">
      <c r="A81" s="2" t="s">
        <v>41</v>
      </c>
      <c r="B81" s="3">
        <v>45748</v>
      </c>
      <c r="C81" s="2" t="s">
        <v>24</v>
      </c>
      <c r="D81" s="2" t="s">
        <v>18</v>
      </c>
      <c r="E81" s="2">
        <v>77999.899999999994</v>
      </c>
      <c r="F81" s="2">
        <v>5974</v>
      </c>
      <c r="G81" s="2">
        <v>0.252</v>
      </c>
      <c r="H81" s="2">
        <v>14</v>
      </c>
      <c r="I81" s="2">
        <v>81.3</v>
      </c>
      <c r="J81" s="2">
        <v>2.39</v>
      </c>
      <c r="K81" s="2">
        <v>0</v>
      </c>
      <c r="L81" s="2">
        <v>3.2</v>
      </c>
      <c r="M81" s="2">
        <v>636561.34</v>
      </c>
      <c r="N81" s="2">
        <v>93861.06</v>
      </c>
    </row>
    <row r="82" spans="1:14" ht="15.75" customHeight="1">
      <c r="A82" s="2" t="s">
        <v>42</v>
      </c>
      <c r="B82" s="3">
        <v>45658</v>
      </c>
      <c r="C82" s="2" t="s">
        <v>27</v>
      </c>
      <c r="D82" s="2" t="s">
        <v>28</v>
      </c>
      <c r="E82" s="2">
        <v>60881.01</v>
      </c>
      <c r="F82" s="2">
        <v>5410</v>
      </c>
      <c r="G82" s="2">
        <v>0.17899999999999999</v>
      </c>
      <c r="H82" s="2">
        <v>15</v>
      </c>
      <c r="I82" s="2">
        <v>83.9</v>
      </c>
      <c r="J82" s="2">
        <v>5.24</v>
      </c>
      <c r="K82" s="2">
        <v>0</v>
      </c>
      <c r="L82" s="2">
        <v>4.5999999999999996</v>
      </c>
      <c r="M82" s="2">
        <v>621369.57999999996</v>
      </c>
      <c r="N82" s="2">
        <v>85493.64</v>
      </c>
    </row>
    <row r="83" spans="1:14" ht="15.75" customHeight="1">
      <c r="A83" s="2" t="s">
        <v>42</v>
      </c>
      <c r="B83" s="3">
        <v>45689</v>
      </c>
      <c r="C83" s="2" t="s">
        <v>27</v>
      </c>
      <c r="D83" s="2" t="s">
        <v>28</v>
      </c>
      <c r="E83" s="2">
        <v>60628.38</v>
      </c>
      <c r="F83" s="2">
        <v>4451</v>
      </c>
      <c r="G83" s="2">
        <v>9.5000000000000001E-2</v>
      </c>
      <c r="H83" s="2">
        <v>10</v>
      </c>
      <c r="I83" s="2">
        <v>89.6</v>
      </c>
      <c r="J83" s="2">
        <v>3.17</v>
      </c>
      <c r="K83" s="2">
        <v>0</v>
      </c>
      <c r="L83" s="2">
        <v>4.5999999999999996</v>
      </c>
      <c r="M83" s="2">
        <v>682208.01</v>
      </c>
      <c r="N83" s="2">
        <v>110318.84</v>
      </c>
    </row>
    <row r="84" spans="1:14" ht="15.75" customHeight="1">
      <c r="A84" s="2" t="s">
        <v>42</v>
      </c>
      <c r="B84" s="3">
        <v>45717</v>
      </c>
      <c r="C84" s="2" t="s">
        <v>27</v>
      </c>
      <c r="D84" s="2" t="s">
        <v>28</v>
      </c>
      <c r="E84" s="2">
        <v>72731.14</v>
      </c>
      <c r="F84" s="2">
        <v>4644</v>
      </c>
      <c r="G84" s="2">
        <v>8.4000000000000005E-2</v>
      </c>
      <c r="H84" s="2">
        <v>15</v>
      </c>
      <c r="I84" s="2">
        <v>87.1</v>
      </c>
      <c r="J84" s="2">
        <v>2.66</v>
      </c>
      <c r="K84" s="2">
        <v>0</v>
      </c>
      <c r="L84" s="2">
        <v>4.5999999999999996</v>
      </c>
      <c r="M84" s="2">
        <v>727241.86</v>
      </c>
      <c r="N84" s="2">
        <v>155810.29999999999</v>
      </c>
    </row>
    <row r="85" spans="1:14" ht="15.75" customHeight="1">
      <c r="A85" s="2" t="s">
        <v>42</v>
      </c>
      <c r="B85" s="3">
        <v>45748</v>
      </c>
      <c r="C85" s="2" t="s">
        <v>27</v>
      </c>
      <c r="D85" s="2" t="s">
        <v>28</v>
      </c>
      <c r="E85" s="2">
        <v>36475.71</v>
      </c>
      <c r="F85" s="2">
        <v>3559</v>
      </c>
      <c r="G85" s="2">
        <v>0.03</v>
      </c>
      <c r="H85" s="2">
        <v>8</v>
      </c>
      <c r="I85" s="2">
        <v>83.6</v>
      </c>
      <c r="J85" s="2">
        <v>1.41</v>
      </c>
      <c r="K85" s="2">
        <v>0</v>
      </c>
      <c r="L85" s="2">
        <v>4.2</v>
      </c>
      <c r="M85" s="2">
        <v>569100.78</v>
      </c>
      <c r="N85" s="2">
        <v>104808.78</v>
      </c>
    </row>
    <row r="86" spans="1:14" ht="15.75" customHeight="1">
      <c r="A86" s="2" t="s">
        <v>43</v>
      </c>
      <c r="B86" s="3">
        <v>45658</v>
      </c>
      <c r="C86" s="2" t="s">
        <v>27</v>
      </c>
      <c r="D86" s="2" t="s">
        <v>18</v>
      </c>
      <c r="E86" s="2">
        <v>55388.11</v>
      </c>
      <c r="F86" s="2">
        <v>3091</v>
      </c>
      <c r="G86" s="2">
        <v>0.108</v>
      </c>
      <c r="H86" s="2">
        <v>7</v>
      </c>
      <c r="I86" s="2">
        <v>85.4</v>
      </c>
      <c r="J86" s="2">
        <v>7.34</v>
      </c>
      <c r="K86" s="2">
        <v>0</v>
      </c>
      <c r="L86" s="2">
        <v>4.9000000000000004</v>
      </c>
      <c r="M86" s="2">
        <v>574436.29</v>
      </c>
      <c r="N86" s="2">
        <v>80271.990000000005</v>
      </c>
    </row>
    <row r="87" spans="1:14" ht="15.75" customHeight="1">
      <c r="A87" s="2" t="s">
        <v>43</v>
      </c>
      <c r="B87" s="3">
        <v>45689</v>
      </c>
      <c r="C87" s="2" t="s">
        <v>27</v>
      </c>
      <c r="D87" s="2" t="s">
        <v>18</v>
      </c>
      <c r="E87" s="2">
        <v>88443.77</v>
      </c>
      <c r="F87" s="2">
        <v>4004</v>
      </c>
      <c r="G87" s="2">
        <v>0.20599999999999999</v>
      </c>
      <c r="H87" s="2">
        <v>11</v>
      </c>
      <c r="I87" s="2">
        <v>91.9</v>
      </c>
      <c r="J87" s="2">
        <v>5.95</v>
      </c>
      <c r="K87" s="2">
        <v>0</v>
      </c>
      <c r="L87" s="2"/>
      <c r="M87" s="2">
        <v>611766.72</v>
      </c>
      <c r="N87" s="2">
        <v>88275.61</v>
      </c>
    </row>
    <row r="88" spans="1:14" ht="15.75" customHeight="1">
      <c r="A88" s="2" t="s">
        <v>43</v>
      </c>
      <c r="B88" s="3">
        <v>45717</v>
      </c>
      <c r="C88" s="2" t="s">
        <v>27</v>
      </c>
      <c r="D88" s="2" t="s">
        <v>18</v>
      </c>
      <c r="E88" s="2">
        <v>78231.91</v>
      </c>
      <c r="F88" s="2">
        <v>3788</v>
      </c>
      <c r="G88" s="2">
        <v>5.8999999999999997E-2</v>
      </c>
      <c r="H88" s="2">
        <v>11</v>
      </c>
      <c r="I88" s="2">
        <v>88.5</v>
      </c>
      <c r="J88" s="2">
        <v>15.51</v>
      </c>
      <c r="K88" s="2">
        <v>0</v>
      </c>
      <c r="L88" s="2">
        <v>4.3</v>
      </c>
      <c r="M88" s="2">
        <v>614596.31999999995</v>
      </c>
      <c r="N88" s="2">
        <v>131199.41</v>
      </c>
    </row>
    <row r="89" spans="1:14" ht="15.75" customHeight="1">
      <c r="A89" s="2" t="s">
        <v>43</v>
      </c>
      <c r="B89" s="3">
        <v>45748</v>
      </c>
      <c r="C89" s="2" t="s">
        <v>27</v>
      </c>
      <c r="D89" s="2" t="s">
        <v>18</v>
      </c>
      <c r="E89" s="2">
        <v>18996.32</v>
      </c>
      <c r="F89" s="2">
        <v>1260</v>
      </c>
      <c r="G89" s="2">
        <v>0.14499999999999999</v>
      </c>
      <c r="H89" s="2">
        <v>9</v>
      </c>
      <c r="I89" s="2">
        <v>86.4</v>
      </c>
      <c r="J89" s="2">
        <v>4.3099999999999996</v>
      </c>
      <c r="K89" s="2">
        <v>0</v>
      </c>
      <c r="L89" s="2">
        <v>4.5999999999999996</v>
      </c>
      <c r="M89" s="2">
        <v>450711.92</v>
      </c>
      <c r="N89" s="2">
        <v>90043.76</v>
      </c>
    </row>
    <row r="90" spans="1:14" ht="15.75" customHeight="1">
      <c r="A90" s="2" t="s">
        <v>44</v>
      </c>
      <c r="B90" s="3">
        <v>45658</v>
      </c>
      <c r="C90" s="2" t="s">
        <v>24</v>
      </c>
      <c r="D90" s="2" t="s">
        <v>28</v>
      </c>
      <c r="E90" s="2">
        <v>50517.94</v>
      </c>
      <c r="F90" s="2">
        <v>7024</v>
      </c>
      <c r="G90" s="2">
        <v>2.9000000000000001E-2</v>
      </c>
      <c r="H90" s="2">
        <v>18</v>
      </c>
      <c r="I90" s="2">
        <v>79.2</v>
      </c>
      <c r="J90" s="2">
        <v>6.61</v>
      </c>
      <c r="K90" s="2">
        <v>1</v>
      </c>
      <c r="L90" s="2">
        <v>4.0999999999999996</v>
      </c>
      <c r="M90" s="2">
        <v>711213.46</v>
      </c>
      <c r="N90" s="2">
        <v>105863.26</v>
      </c>
    </row>
    <row r="91" spans="1:14" ht="15.75" customHeight="1">
      <c r="A91" s="2" t="s">
        <v>44</v>
      </c>
      <c r="B91" s="3">
        <v>45689</v>
      </c>
      <c r="C91" s="2" t="s">
        <v>24</v>
      </c>
      <c r="D91" s="2" t="s">
        <v>28</v>
      </c>
      <c r="E91" s="2">
        <v>141540.29</v>
      </c>
      <c r="F91" s="2">
        <v>5400</v>
      </c>
      <c r="G91" s="2">
        <v>1.2999999999999999E-2</v>
      </c>
      <c r="H91" s="2">
        <v>12</v>
      </c>
      <c r="I91" s="2">
        <v>87</v>
      </c>
      <c r="J91" s="2">
        <v>4.26</v>
      </c>
      <c r="K91" s="2">
        <v>0</v>
      </c>
      <c r="L91" s="2">
        <v>4.5</v>
      </c>
      <c r="M91" s="2">
        <v>627171.9</v>
      </c>
      <c r="N91" s="2">
        <v>105772.75</v>
      </c>
    </row>
    <row r="92" spans="1:14" ht="15.75" customHeight="1">
      <c r="A92" s="2" t="s">
        <v>44</v>
      </c>
      <c r="B92" s="3">
        <v>45717</v>
      </c>
      <c r="C92" s="2" t="s">
        <v>24</v>
      </c>
      <c r="D92" s="2" t="s">
        <v>28</v>
      </c>
      <c r="E92" s="2">
        <v>82116.19</v>
      </c>
      <c r="F92" s="2">
        <v>5988</v>
      </c>
      <c r="G92" s="2">
        <v>0.04</v>
      </c>
      <c r="H92" s="2">
        <v>17</v>
      </c>
      <c r="I92" s="2">
        <v>91.8</v>
      </c>
      <c r="J92" s="2">
        <v>5.75</v>
      </c>
      <c r="K92" s="2">
        <v>0</v>
      </c>
      <c r="L92" s="2">
        <v>4.7</v>
      </c>
      <c r="M92" s="2">
        <v>739852.58</v>
      </c>
      <c r="N92" s="2">
        <v>129386.43</v>
      </c>
    </row>
    <row r="93" spans="1:14" ht="15.75" customHeight="1">
      <c r="A93" s="2" t="s">
        <v>44</v>
      </c>
      <c r="B93" s="3">
        <v>45748</v>
      </c>
      <c r="C93" s="2" t="s">
        <v>24</v>
      </c>
      <c r="D93" s="2" t="s">
        <v>28</v>
      </c>
      <c r="E93" s="2">
        <v>31207.51</v>
      </c>
      <c r="F93" s="2">
        <v>3701</v>
      </c>
      <c r="G93" s="2">
        <v>4.2999999999999997E-2</v>
      </c>
      <c r="H93" s="2">
        <v>11</v>
      </c>
      <c r="I93" s="2">
        <v>84.7</v>
      </c>
      <c r="J93" s="2">
        <v>0.33</v>
      </c>
      <c r="K93" s="2">
        <v>0</v>
      </c>
      <c r="L93" s="2">
        <v>4.3</v>
      </c>
      <c r="M93" s="2">
        <v>586307.22</v>
      </c>
      <c r="N93" s="2">
        <v>73927.850000000006</v>
      </c>
    </row>
    <row r="94" spans="1:14" ht="15.75" customHeight="1">
      <c r="A94" s="2" t="s">
        <v>45</v>
      </c>
      <c r="B94" s="3">
        <v>45658</v>
      </c>
      <c r="C94" s="2" t="s">
        <v>27</v>
      </c>
      <c r="D94" s="2" t="s">
        <v>16</v>
      </c>
      <c r="E94" s="2">
        <v>38966.589999999997</v>
      </c>
      <c r="F94" s="2">
        <v>4509</v>
      </c>
      <c r="G94" s="2">
        <v>0.19400000000000001</v>
      </c>
      <c r="H94" s="2">
        <v>14</v>
      </c>
      <c r="I94" s="2">
        <v>91.1</v>
      </c>
      <c r="J94" s="2">
        <v>2.92</v>
      </c>
      <c r="K94" s="2">
        <v>0</v>
      </c>
      <c r="L94" s="2">
        <v>4.5999999999999996</v>
      </c>
      <c r="M94" s="2">
        <v>585937.48</v>
      </c>
      <c r="N94" s="2">
        <v>82624.2</v>
      </c>
    </row>
    <row r="95" spans="1:14" ht="15.75" customHeight="1">
      <c r="A95" s="2" t="s">
        <v>45</v>
      </c>
      <c r="B95" s="3">
        <v>45689</v>
      </c>
      <c r="C95" s="2" t="s">
        <v>27</v>
      </c>
      <c r="D95" s="2" t="s">
        <v>16</v>
      </c>
      <c r="E95" s="2">
        <v>67439.3</v>
      </c>
      <c r="F95" s="2">
        <v>6477</v>
      </c>
      <c r="G95" s="2">
        <v>0</v>
      </c>
      <c r="H95" s="2">
        <v>16</v>
      </c>
      <c r="I95" s="2">
        <v>90.9</v>
      </c>
      <c r="J95" s="2">
        <v>1.64</v>
      </c>
      <c r="K95" s="2">
        <v>0</v>
      </c>
      <c r="L95" s="2">
        <v>4.5</v>
      </c>
      <c r="M95" s="2">
        <v>753473.55</v>
      </c>
      <c r="N95" s="2">
        <v>151527.22</v>
      </c>
    </row>
    <row r="96" spans="1:14" ht="15.75" customHeight="1">
      <c r="A96" s="2" t="s">
        <v>45</v>
      </c>
      <c r="B96" s="3">
        <v>45717</v>
      </c>
      <c r="C96" s="2" t="s">
        <v>27</v>
      </c>
      <c r="D96" s="2" t="s">
        <v>16</v>
      </c>
      <c r="E96" s="2">
        <v>86421.88</v>
      </c>
      <c r="F96" s="2">
        <v>7970</v>
      </c>
      <c r="G96" s="2">
        <v>7.2999999999999995E-2</v>
      </c>
      <c r="H96" s="2">
        <v>17</v>
      </c>
      <c r="I96" s="2">
        <v>91.3</v>
      </c>
      <c r="J96" s="2">
        <v>0.8</v>
      </c>
      <c r="K96" s="2">
        <v>0</v>
      </c>
      <c r="L96" s="2">
        <v>5</v>
      </c>
      <c r="M96" s="2">
        <v>838250.32</v>
      </c>
      <c r="N96" s="2">
        <v>122939.34</v>
      </c>
    </row>
    <row r="97" spans="1:14" ht="15.75" customHeight="1">
      <c r="A97" s="2" t="s">
        <v>45</v>
      </c>
      <c r="B97" s="3">
        <v>45748</v>
      </c>
      <c r="C97" s="2" t="s">
        <v>27</v>
      </c>
      <c r="D97" s="2" t="s">
        <v>16</v>
      </c>
      <c r="E97" s="2">
        <v>9534.65</v>
      </c>
      <c r="F97" s="2">
        <v>6057</v>
      </c>
      <c r="G97" s="2">
        <v>7.3999999999999996E-2</v>
      </c>
      <c r="H97" s="2">
        <v>15</v>
      </c>
      <c r="I97" s="2">
        <v>94.1</v>
      </c>
      <c r="J97" s="2">
        <v>5.79</v>
      </c>
      <c r="K97" s="2">
        <v>0</v>
      </c>
      <c r="L97" s="2">
        <v>4.5</v>
      </c>
      <c r="M97" s="2">
        <v>607898.12</v>
      </c>
      <c r="N97" s="2">
        <v>135404.85</v>
      </c>
    </row>
    <row r="98" spans="1:14" ht="15.75" customHeight="1">
      <c r="A98" s="2" t="s">
        <v>46</v>
      </c>
      <c r="B98" s="3">
        <v>45658</v>
      </c>
      <c r="C98" s="2" t="s">
        <v>27</v>
      </c>
      <c r="D98" s="2" t="s">
        <v>28</v>
      </c>
      <c r="E98" s="2">
        <v>61132.07</v>
      </c>
      <c r="F98" s="2">
        <v>6394</v>
      </c>
      <c r="G98" s="2">
        <v>0.16300000000000001</v>
      </c>
      <c r="H98" s="2">
        <v>19</v>
      </c>
      <c r="I98" s="2">
        <v>91</v>
      </c>
      <c r="J98" s="2">
        <v>19.600000000000001</v>
      </c>
      <c r="K98" s="2">
        <v>0</v>
      </c>
      <c r="L98" s="2">
        <v>4.4000000000000004</v>
      </c>
      <c r="M98" s="2">
        <v>691113.62</v>
      </c>
      <c r="N98" s="2">
        <v>135145.44</v>
      </c>
    </row>
    <row r="99" spans="1:14" ht="15.75" customHeight="1">
      <c r="A99" s="2" t="s">
        <v>46</v>
      </c>
      <c r="B99" s="3">
        <v>45689</v>
      </c>
      <c r="C99" s="2" t="s">
        <v>27</v>
      </c>
      <c r="D99" s="2" t="s">
        <v>28</v>
      </c>
      <c r="E99" s="2">
        <v>78839.39</v>
      </c>
      <c r="F99" s="2">
        <v>5150</v>
      </c>
      <c r="G99" s="2">
        <v>0.17100000000000001</v>
      </c>
      <c r="H99" s="2">
        <v>13</v>
      </c>
      <c r="I99" s="2">
        <v>85.8</v>
      </c>
      <c r="J99" s="2">
        <v>7.57</v>
      </c>
      <c r="K99" s="2">
        <v>0</v>
      </c>
      <c r="L99" s="2">
        <v>4.3</v>
      </c>
      <c r="M99" s="2">
        <v>735509.4</v>
      </c>
      <c r="N99" s="2">
        <v>83895.96</v>
      </c>
    </row>
    <row r="100" spans="1:14" ht="15.75" customHeight="1">
      <c r="A100" s="2" t="s">
        <v>46</v>
      </c>
      <c r="B100" s="3">
        <v>45717</v>
      </c>
      <c r="C100" s="2" t="s">
        <v>27</v>
      </c>
      <c r="D100" s="2" t="s">
        <v>28</v>
      </c>
      <c r="E100" s="2">
        <v>38752.800000000003</v>
      </c>
      <c r="F100" s="2">
        <v>4712</v>
      </c>
      <c r="G100" s="2">
        <v>7.4999999999999997E-2</v>
      </c>
      <c r="H100" s="2">
        <v>15</v>
      </c>
      <c r="I100" s="2">
        <v>89.7</v>
      </c>
      <c r="J100" s="2"/>
      <c r="K100" s="2">
        <v>0</v>
      </c>
      <c r="L100" s="2">
        <v>4.3</v>
      </c>
      <c r="M100" s="2">
        <v>605775.32999999996</v>
      </c>
      <c r="N100" s="2">
        <v>107194.6</v>
      </c>
    </row>
    <row r="101" spans="1:14" ht="15.75" customHeight="1">
      <c r="A101" s="2" t="s">
        <v>46</v>
      </c>
      <c r="B101" s="3">
        <v>45748</v>
      </c>
      <c r="C101" s="2" t="s">
        <v>27</v>
      </c>
      <c r="D101" s="2" t="s">
        <v>28</v>
      </c>
      <c r="E101" s="2">
        <v>55101.1</v>
      </c>
      <c r="F101" s="2">
        <v>5281</v>
      </c>
      <c r="G101" s="2">
        <v>0.189</v>
      </c>
      <c r="H101" s="2">
        <v>11</v>
      </c>
      <c r="I101" s="2">
        <v>91</v>
      </c>
      <c r="J101" s="2">
        <v>2.7</v>
      </c>
      <c r="K101" s="2">
        <v>0</v>
      </c>
      <c r="L101" s="2">
        <v>4.4000000000000004</v>
      </c>
      <c r="M101" s="2">
        <v>675177.68</v>
      </c>
      <c r="N101" s="2">
        <v>105628.68</v>
      </c>
    </row>
    <row r="102" spans="1:14" ht="15.75" customHeight="1">
      <c r="A102" s="2" t="s">
        <v>47</v>
      </c>
      <c r="B102" s="3">
        <v>45658</v>
      </c>
      <c r="C102" s="2" t="s">
        <v>15</v>
      </c>
      <c r="D102" s="2" t="s">
        <v>28</v>
      </c>
      <c r="E102" s="2">
        <v>53084.76</v>
      </c>
      <c r="F102" s="2">
        <v>3642</v>
      </c>
      <c r="G102" s="2">
        <v>0.15</v>
      </c>
      <c r="H102" s="2">
        <v>12</v>
      </c>
      <c r="I102" s="2">
        <v>91.4</v>
      </c>
      <c r="J102" s="2">
        <v>0.2</v>
      </c>
      <c r="K102" s="2">
        <v>0</v>
      </c>
      <c r="L102" s="2">
        <v>4.4000000000000004</v>
      </c>
      <c r="M102" s="2">
        <v>635181.35</v>
      </c>
      <c r="N102" s="2">
        <v>83341.25</v>
      </c>
    </row>
    <row r="103" spans="1:14" ht="15.75" customHeight="1">
      <c r="A103" s="2" t="s">
        <v>47</v>
      </c>
      <c r="B103" s="3">
        <v>45689</v>
      </c>
      <c r="C103" s="2" t="s">
        <v>15</v>
      </c>
      <c r="D103" s="2" t="s">
        <v>28</v>
      </c>
      <c r="E103" s="2">
        <v>63101.59</v>
      </c>
      <c r="F103" s="2">
        <v>4373</v>
      </c>
      <c r="G103" s="2">
        <v>0.17299999999999999</v>
      </c>
      <c r="H103" s="2">
        <v>14</v>
      </c>
      <c r="I103" s="2">
        <v>90.4</v>
      </c>
      <c r="J103" s="2">
        <v>7.87</v>
      </c>
      <c r="K103" s="2">
        <v>0</v>
      </c>
      <c r="L103" s="2">
        <v>4.7</v>
      </c>
      <c r="M103" s="2">
        <v>586626.93999999994</v>
      </c>
      <c r="N103" s="2">
        <v>86498.55</v>
      </c>
    </row>
    <row r="104" spans="1:14" ht="15.75" customHeight="1">
      <c r="A104" s="2" t="s">
        <v>47</v>
      </c>
      <c r="B104" s="3">
        <v>45717</v>
      </c>
      <c r="C104" s="2" t="s">
        <v>15</v>
      </c>
      <c r="D104" s="2" t="s">
        <v>28</v>
      </c>
      <c r="E104" s="2">
        <v>90084.4</v>
      </c>
      <c r="F104" s="2">
        <v>6832</v>
      </c>
      <c r="G104" s="2">
        <v>0.185</v>
      </c>
      <c r="H104" s="2">
        <v>14</v>
      </c>
      <c r="I104" s="2">
        <v>80.5</v>
      </c>
      <c r="J104" s="2">
        <v>0.77</v>
      </c>
      <c r="K104" s="2">
        <v>1</v>
      </c>
      <c r="L104" s="2">
        <v>4.4000000000000004</v>
      </c>
      <c r="M104" s="2">
        <v>740102.64</v>
      </c>
      <c r="N104" s="2">
        <v>114299.07</v>
      </c>
    </row>
    <row r="105" spans="1:14" ht="15.75" customHeight="1">
      <c r="A105" s="2" t="s">
        <v>47</v>
      </c>
      <c r="B105" s="3">
        <v>45748</v>
      </c>
      <c r="C105" s="2" t="s">
        <v>15</v>
      </c>
      <c r="D105" s="2" t="s">
        <v>28</v>
      </c>
      <c r="E105" s="2">
        <v>32266.639999999999</v>
      </c>
      <c r="F105" s="2">
        <v>2414</v>
      </c>
      <c r="G105" s="2">
        <v>0.08</v>
      </c>
      <c r="H105" s="2">
        <v>7</v>
      </c>
      <c r="I105" s="2">
        <v>92.1</v>
      </c>
      <c r="J105" s="2">
        <v>1.48</v>
      </c>
      <c r="K105" s="2">
        <v>0</v>
      </c>
      <c r="L105" s="2">
        <v>5</v>
      </c>
      <c r="M105" s="2">
        <v>625514.04</v>
      </c>
      <c r="N105" s="2">
        <v>120685.08</v>
      </c>
    </row>
    <row r="106" spans="1:14" ht="15.75" customHeight="1">
      <c r="A106" s="2" t="s">
        <v>48</v>
      </c>
      <c r="B106" s="3">
        <v>45658</v>
      </c>
      <c r="C106" s="2" t="s">
        <v>27</v>
      </c>
      <c r="D106" s="2" t="s">
        <v>18</v>
      </c>
      <c r="E106" s="2">
        <v>57919.07</v>
      </c>
      <c r="F106" s="2">
        <v>7374</v>
      </c>
      <c r="G106" s="2">
        <v>0.10299999999999999</v>
      </c>
      <c r="H106" s="2">
        <v>21</v>
      </c>
      <c r="I106" s="2">
        <v>82.3</v>
      </c>
      <c r="J106" s="2">
        <v>2.87</v>
      </c>
      <c r="K106" s="2">
        <v>0</v>
      </c>
      <c r="L106" s="2">
        <v>2.9</v>
      </c>
      <c r="M106" s="2">
        <v>727227.2</v>
      </c>
      <c r="N106" s="2">
        <v>121292.01</v>
      </c>
    </row>
    <row r="107" spans="1:14" ht="15.75" customHeight="1">
      <c r="A107" s="2" t="s">
        <v>48</v>
      </c>
      <c r="B107" s="3">
        <v>45689</v>
      </c>
      <c r="C107" s="2" t="s">
        <v>27</v>
      </c>
      <c r="D107" s="2" t="s">
        <v>18</v>
      </c>
      <c r="E107" s="2">
        <v>74679.350000000006</v>
      </c>
      <c r="F107" s="2">
        <v>8739</v>
      </c>
      <c r="G107" s="2">
        <v>5.6000000000000001E-2</v>
      </c>
      <c r="H107" s="2">
        <v>21</v>
      </c>
      <c r="I107" s="2">
        <v>91.8</v>
      </c>
      <c r="J107" s="2">
        <v>2.83</v>
      </c>
      <c r="K107" s="2">
        <v>0</v>
      </c>
      <c r="L107" s="2">
        <v>3</v>
      </c>
      <c r="M107" s="2">
        <v>783797.89</v>
      </c>
      <c r="N107" s="2">
        <v>157620.70000000001</v>
      </c>
    </row>
    <row r="108" spans="1:14" ht="15.75" customHeight="1">
      <c r="A108" s="2" t="s">
        <v>48</v>
      </c>
      <c r="B108" s="3">
        <v>45717</v>
      </c>
      <c r="C108" s="2" t="s">
        <v>27</v>
      </c>
      <c r="D108" s="2" t="s">
        <v>18</v>
      </c>
      <c r="E108" s="2">
        <v>64294.23</v>
      </c>
      <c r="F108" s="2">
        <v>6992</v>
      </c>
      <c r="G108" s="2">
        <v>0.13300000000000001</v>
      </c>
      <c r="H108" s="2">
        <v>14</v>
      </c>
      <c r="I108" s="2">
        <v>94.1</v>
      </c>
      <c r="J108" s="2">
        <v>0.25</v>
      </c>
      <c r="K108" s="2">
        <v>0</v>
      </c>
      <c r="L108" s="2">
        <v>3</v>
      </c>
      <c r="M108" s="2">
        <v>795153.84</v>
      </c>
      <c r="N108" s="2">
        <v>143194.21</v>
      </c>
    </row>
    <row r="109" spans="1:14" ht="15.75" customHeight="1">
      <c r="A109" s="2" t="s">
        <v>48</v>
      </c>
      <c r="B109" s="3">
        <v>45748</v>
      </c>
      <c r="C109" s="2" t="s">
        <v>27</v>
      </c>
      <c r="D109" s="2" t="s">
        <v>18</v>
      </c>
      <c r="E109" s="2">
        <v>31042.03</v>
      </c>
      <c r="F109" s="2">
        <v>7107</v>
      </c>
      <c r="G109" s="2">
        <v>5.0999999999999997E-2</v>
      </c>
      <c r="H109" s="2">
        <v>15</v>
      </c>
      <c r="I109" s="2">
        <v>87</v>
      </c>
      <c r="J109" s="2">
        <v>13.33</v>
      </c>
      <c r="K109" s="2">
        <v>0</v>
      </c>
      <c r="L109" s="2">
        <v>3.2</v>
      </c>
      <c r="M109" s="2">
        <v>665594.93999999994</v>
      </c>
      <c r="N109" s="2">
        <v>127597.34</v>
      </c>
    </row>
    <row r="110" spans="1:14" ht="15.75" customHeight="1">
      <c r="A110" s="2" t="s">
        <v>49</v>
      </c>
      <c r="B110" s="3">
        <v>45658</v>
      </c>
      <c r="C110" s="2" t="s">
        <v>15</v>
      </c>
      <c r="D110" s="2" t="s">
        <v>28</v>
      </c>
      <c r="E110" s="2">
        <v>75265.02</v>
      </c>
      <c r="F110" s="2">
        <v>6975</v>
      </c>
      <c r="G110" s="2">
        <v>0.157</v>
      </c>
      <c r="H110" s="2">
        <v>20</v>
      </c>
      <c r="I110" s="2">
        <v>73.8</v>
      </c>
      <c r="J110" s="2">
        <v>6.35</v>
      </c>
      <c r="K110" s="2">
        <v>1</v>
      </c>
      <c r="L110" s="2">
        <v>3.8</v>
      </c>
      <c r="M110" s="2">
        <v>709478.39</v>
      </c>
      <c r="N110" s="2">
        <v>71294.27</v>
      </c>
    </row>
    <row r="111" spans="1:14" ht="15.75" customHeight="1">
      <c r="A111" s="2" t="s">
        <v>49</v>
      </c>
      <c r="B111" s="3">
        <v>45689</v>
      </c>
      <c r="C111" s="2" t="s">
        <v>15</v>
      </c>
      <c r="D111" s="2" t="s">
        <v>28</v>
      </c>
      <c r="E111" s="2">
        <v>69411.7</v>
      </c>
      <c r="F111" s="2">
        <v>5493</v>
      </c>
      <c r="G111" s="2">
        <v>0.29199999999999998</v>
      </c>
      <c r="H111" s="2">
        <v>13</v>
      </c>
      <c r="I111" s="2">
        <v>86.5</v>
      </c>
      <c r="J111" s="2">
        <v>6.69</v>
      </c>
      <c r="K111" s="2">
        <v>0</v>
      </c>
      <c r="L111" s="2">
        <v>3.8</v>
      </c>
      <c r="M111" s="2">
        <v>664162.49</v>
      </c>
      <c r="N111" s="2">
        <v>98291.06</v>
      </c>
    </row>
    <row r="112" spans="1:14" ht="15.75" customHeight="1">
      <c r="A112" s="2" t="s">
        <v>49</v>
      </c>
      <c r="B112" s="3">
        <v>45717</v>
      </c>
      <c r="C112" s="2" t="s">
        <v>15</v>
      </c>
      <c r="D112" s="2" t="s">
        <v>28</v>
      </c>
      <c r="E112" s="2">
        <v>51056.15</v>
      </c>
      <c r="F112" s="2">
        <v>5686</v>
      </c>
      <c r="G112" s="2">
        <v>8.8999999999999996E-2</v>
      </c>
      <c r="H112" s="2">
        <v>13</v>
      </c>
      <c r="I112" s="2">
        <v>89.9</v>
      </c>
      <c r="J112" s="2">
        <v>1.28</v>
      </c>
      <c r="K112" s="2">
        <v>0</v>
      </c>
      <c r="L112" s="2">
        <v>4.2</v>
      </c>
      <c r="M112" s="2">
        <v>633494.21</v>
      </c>
      <c r="N112" s="2">
        <v>105739.47</v>
      </c>
    </row>
    <row r="113" spans="1:14" ht="15.75" customHeight="1">
      <c r="A113" s="2" t="s">
        <v>49</v>
      </c>
      <c r="B113" s="3">
        <v>45748</v>
      </c>
      <c r="C113" s="2" t="s">
        <v>15</v>
      </c>
      <c r="D113" s="2" t="s">
        <v>28</v>
      </c>
      <c r="E113" s="2">
        <v>52758.01</v>
      </c>
      <c r="F113" s="2">
        <v>4063</v>
      </c>
      <c r="G113" s="2">
        <v>5.7000000000000002E-2</v>
      </c>
      <c r="H113" s="2">
        <v>12</v>
      </c>
      <c r="I113" s="2">
        <v>91.7</v>
      </c>
      <c r="J113" s="2">
        <v>0.92</v>
      </c>
      <c r="K113" s="2">
        <v>0</v>
      </c>
      <c r="L113" s="2">
        <v>3.5</v>
      </c>
      <c r="M113" s="2">
        <v>713611.16</v>
      </c>
      <c r="N113" s="2">
        <v>129717.18</v>
      </c>
    </row>
    <row r="114" spans="1:14" ht="15.75" customHeight="1">
      <c r="A114" s="2" t="s">
        <v>50</v>
      </c>
      <c r="B114" s="3">
        <v>45658</v>
      </c>
      <c r="C114" s="2" t="s">
        <v>27</v>
      </c>
      <c r="D114" s="2" t="s">
        <v>28</v>
      </c>
      <c r="E114" s="2">
        <v>61426.04</v>
      </c>
      <c r="F114" s="2">
        <v>8966</v>
      </c>
      <c r="G114" s="2">
        <v>0.17299999999999999</v>
      </c>
      <c r="H114" s="2">
        <v>22</v>
      </c>
      <c r="I114" s="2">
        <v>76.400000000000006</v>
      </c>
      <c r="J114" s="2">
        <v>1.05</v>
      </c>
      <c r="K114" s="2">
        <v>0</v>
      </c>
      <c r="L114" s="2">
        <v>3.1</v>
      </c>
      <c r="M114" s="2">
        <v>778397.97</v>
      </c>
      <c r="N114" s="2">
        <v>120044.41</v>
      </c>
    </row>
    <row r="115" spans="1:14" ht="15.75" customHeight="1">
      <c r="A115" s="2" t="s">
        <v>50</v>
      </c>
      <c r="B115" s="3">
        <v>45689</v>
      </c>
      <c r="C115" s="2" t="s">
        <v>27</v>
      </c>
      <c r="D115" s="2" t="s">
        <v>28</v>
      </c>
      <c r="E115" s="2">
        <v>80176.34</v>
      </c>
      <c r="F115" s="2">
        <v>9489</v>
      </c>
      <c r="G115" s="2">
        <v>0.14199999999999999</v>
      </c>
      <c r="H115" s="2">
        <v>22</v>
      </c>
      <c r="I115" s="2">
        <v>94.3</v>
      </c>
      <c r="J115" s="2">
        <v>2.67</v>
      </c>
      <c r="K115" s="2">
        <v>0</v>
      </c>
      <c r="L115" s="2">
        <v>3.5</v>
      </c>
      <c r="M115" s="2">
        <v>873380.02</v>
      </c>
      <c r="N115" s="2">
        <v>149734.76</v>
      </c>
    </row>
    <row r="116" spans="1:14" ht="15.75" customHeight="1">
      <c r="A116" s="2" t="s">
        <v>50</v>
      </c>
      <c r="B116" s="3">
        <v>45717</v>
      </c>
      <c r="C116" s="2" t="s">
        <v>27</v>
      </c>
      <c r="D116" s="2" t="s">
        <v>28</v>
      </c>
      <c r="E116" s="2">
        <v>33605.18</v>
      </c>
      <c r="F116" s="2">
        <v>9225</v>
      </c>
      <c r="G116" s="2">
        <v>0.159</v>
      </c>
      <c r="H116" s="2">
        <v>23</v>
      </c>
      <c r="I116" s="2">
        <v>88.4</v>
      </c>
      <c r="J116" s="2">
        <v>5.91</v>
      </c>
      <c r="K116" s="2">
        <v>0</v>
      </c>
      <c r="L116" s="2">
        <v>2.8</v>
      </c>
      <c r="M116" s="2">
        <v>697287.9</v>
      </c>
      <c r="N116" s="2">
        <v>128208.33</v>
      </c>
    </row>
    <row r="117" spans="1:14" ht="15.75" customHeight="1">
      <c r="A117" s="2" t="s">
        <v>50</v>
      </c>
      <c r="B117" s="3">
        <v>45748</v>
      </c>
      <c r="C117" s="2" t="s">
        <v>27</v>
      </c>
      <c r="D117" s="2" t="s">
        <v>28</v>
      </c>
      <c r="E117" s="2">
        <v>25990.54</v>
      </c>
      <c r="F117" s="2">
        <v>9249</v>
      </c>
      <c r="G117" s="2">
        <v>0.13900000000000001</v>
      </c>
      <c r="H117" s="2">
        <v>23</v>
      </c>
      <c r="I117" s="2">
        <v>92.5</v>
      </c>
      <c r="J117" s="2">
        <v>6.37</v>
      </c>
      <c r="K117" s="2">
        <v>0</v>
      </c>
      <c r="L117" s="2">
        <v>3.3</v>
      </c>
      <c r="M117" s="2">
        <v>718074.79</v>
      </c>
      <c r="N117" s="2">
        <v>115819.87</v>
      </c>
    </row>
    <row r="118" spans="1:14" ht="15.75" customHeight="1">
      <c r="A118" s="2" t="s">
        <v>51</v>
      </c>
      <c r="B118" s="3">
        <v>45658</v>
      </c>
      <c r="C118" s="2" t="s">
        <v>27</v>
      </c>
      <c r="D118" s="2" t="s">
        <v>16</v>
      </c>
      <c r="E118" s="2">
        <v>43685.14</v>
      </c>
      <c r="F118" s="2">
        <v>7821</v>
      </c>
      <c r="G118" s="2">
        <v>0.19</v>
      </c>
      <c r="H118" s="2">
        <v>17</v>
      </c>
      <c r="I118" s="2">
        <v>91</v>
      </c>
      <c r="J118" s="2">
        <v>2.4900000000000002</v>
      </c>
      <c r="K118" s="2">
        <v>1</v>
      </c>
      <c r="L118" s="2">
        <v>4.7</v>
      </c>
      <c r="M118" s="2">
        <v>714942.43</v>
      </c>
      <c r="N118" s="2">
        <v>94697.71</v>
      </c>
    </row>
    <row r="119" spans="1:14" ht="15.75" customHeight="1">
      <c r="A119" s="2" t="s">
        <v>51</v>
      </c>
      <c r="B119" s="3">
        <v>45689</v>
      </c>
      <c r="C119" s="2" t="s">
        <v>27</v>
      </c>
      <c r="D119" s="2" t="s">
        <v>16</v>
      </c>
      <c r="E119" s="2">
        <v>57360.01</v>
      </c>
      <c r="F119" s="2">
        <v>8434</v>
      </c>
      <c r="G119" s="2">
        <v>0.151</v>
      </c>
      <c r="H119" s="2">
        <v>19</v>
      </c>
      <c r="I119" s="2">
        <v>84.1</v>
      </c>
      <c r="J119" s="2">
        <v>1.56</v>
      </c>
      <c r="K119" s="2">
        <v>0</v>
      </c>
      <c r="L119" s="2">
        <v>4.7</v>
      </c>
      <c r="M119" s="2">
        <v>820519.04</v>
      </c>
      <c r="N119" s="2">
        <v>99035.88</v>
      </c>
    </row>
    <row r="120" spans="1:14" ht="15.75" customHeight="1">
      <c r="A120" s="2" t="s">
        <v>51</v>
      </c>
      <c r="B120" s="3">
        <v>45717</v>
      </c>
      <c r="C120" s="2" t="s">
        <v>27</v>
      </c>
      <c r="D120" s="2" t="s">
        <v>16</v>
      </c>
      <c r="E120" s="2">
        <v>42415.47</v>
      </c>
      <c r="F120" s="2">
        <v>8512</v>
      </c>
      <c r="G120" s="2">
        <v>0.13300000000000001</v>
      </c>
      <c r="H120" s="2">
        <v>18</v>
      </c>
      <c r="I120" s="2">
        <v>96.8</v>
      </c>
      <c r="J120" s="2">
        <v>14.95</v>
      </c>
      <c r="K120" s="2">
        <v>0</v>
      </c>
      <c r="L120" s="2">
        <v>4.5999999999999996</v>
      </c>
      <c r="M120" s="2">
        <v>684217.32</v>
      </c>
      <c r="N120" s="2">
        <v>136217.19</v>
      </c>
    </row>
    <row r="121" spans="1:14" ht="15.75" customHeight="1">
      <c r="A121" s="2" t="s">
        <v>51</v>
      </c>
      <c r="B121" s="3">
        <v>45748</v>
      </c>
      <c r="C121" s="2" t="s">
        <v>27</v>
      </c>
      <c r="D121" s="2" t="s">
        <v>16</v>
      </c>
      <c r="E121" s="2">
        <v>54968.98</v>
      </c>
      <c r="F121" s="2">
        <v>7816</v>
      </c>
      <c r="G121" s="2">
        <v>0.23200000000000001</v>
      </c>
      <c r="H121" s="2">
        <v>19</v>
      </c>
      <c r="I121" s="2">
        <v>95.7</v>
      </c>
      <c r="J121" s="2">
        <v>7.85</v>
      </c>
      <c r="K121" s="2">
        <v>0</v>
      </c>
      <c r="L121" s="2">
        <v>4.7</v>
      </c>
      <c r="M121" s="2">
        <v>735480.19</v>
      </c>
      <c r="N121" s="2">
        <v>88342.11</v>
      </c>
    </row>
    <row r="122" spans="1:14" ht="15.75" customHeight="1">
      <c r="A122" s="2" t="s">
        <v>52</v>
      </c>
      <c r="B122" s="3">
        <v>45658</v>
      </c>
      <c r="C122" s="2" t="s">
        <v>20</v>
      </c>
      <c r="D122" s="2" t="s">
        <v>18</v>
      </c>
      <c r="E122" s="2">
        <v>43896.13</v>
      </c>
      <c r="F122" s="2">
        <v>3853</v>
      </c>
      <c r="G122" s="2">
        <v>8.7999999999999995E-2</v>
      </c>
      <c r="H122" s="2">
        <v>13</v>
      </c>
      <c r="I122" s="2">
        <v>83</v>
      </c>
      <c r="J122" s="2">
        <v>6.8</v>
      </c>
      <c r="K122" s="2">
        <v>0</v>
      </c>
      <c r="L122" s="2">
        <v>4.4000000000000004</v>
      </c>
      <c r="M122" s="2">
        <v>509484.81</v>
      </c>
      <c r="N122" s="2">
        <v>85742.36</v>
      </c>
    </row>
    <row r="123" spans="1:14" ht="15.75" customHeight="1">
      <c r="A123" s="2" t="s">
        <v>52</v>
      </c>
      <c r="B123" s="3">
        <v>45689</v>
      </c>
      <c r="C123" s="2" t="s">
        <v>20</v>
      </c>
      <c r="D123" s="2" t="s">
        <v>18</v>
      </c>
      <c r="E123" s="2">
        <v>83044.17</v>
      </c>
      <c r="F123" s="2">
        <v>3694</v>
      </c>
      <c r="G123" s="2">
        <v>0</v>
      </c>
      <c r="H123" s="2">
        <v>14</v>
      </c>
      <c r="I123" s="2">
        <v>89.4</v>
      </c>
      <c r="J123" s="2">
        <v>2.2000000000000002</v>
      </c>
      <c r="K123" s="2">
        <v>0</v>
      </c>
      <c r="L123" s="2">
        <v>3.7</v>
      </c>
      <c r="M123" s="2">
        <v>654317.09</v>
      </c>
      <c r="N123" s="2">
        <v>121446.89</v>
      </c>
    </row>
    <row r="124" spans="1:14" ht="15.75" customHeight="1">
      <c r="A124" s="2" t="s">
        <v>52</v>
      </c>
      <c r="B124" s="3">
        <v>45717</v>
      </c>
      <c r="C124" s="2" t="s">
        <v>20</v>
      </c>
      <c r="D124" s="2" t="s">
        <v>18</v>
      </c>
      <c r="E124" s="2">
        <v>48396.13</v>
      </c>
      <c r="F124" s="2">
        <v>4423</v>
      </c>
      <c r="G124" s="2">
        <v>6.9000000000000006E-2</v>
      </c>
      <c r="H124" s="2">
        <v>15</v>
      </c>
      <c r="I124" s="2">
        <v>85.7</v>
      </c>
      <c r="J124" s="2">
        <v>1.88</v>
      </c>
      <c r="K124" s="2">
        <v>0</v>
      </c>
      <c r="L124" s="2">
        <v>3.9</v>
      </c>
      <c r="M124" s="2">
        <v>557487.26</v>
      </c>
      <c r="N124" s="2">
        <v>76432.19</v>
      </c>
    </row>
    <row r="125" spans="1:14" ht="15.75" customHeight="1">
      <c r="A125" s="2" t="s">
        <v>52</v>
      </c>
      <c r="B125" s="3">
        <v>45748</v>
      </c>
      <c r="C125" s="2" t="s">
        <v>20</v>
      </c>
      <c r="D125" s="2" t="s">
        <v>18</v>
      </c>
      <c r="E125" s="2">
        <v>19063.48</v>
      </c>
      <c r="F125" s="2">
        <v>1906</v>
      </c>
      <c r="G125" s="2">
        <v>0.216</v>
      </c>
      <c r="H125" s="2">
        <v>10</v>
      </c>
      <c r="I125" s="2">
        <v>97.8</v>
      </c>
      <c r="J125" s="2">
        <v>15.79</v>
      </c>
      <c r="K125" s="2">
        <v>0</v>
      </c>
      <c r="L125" s="2">
        <v>4.4000000000000004</v>
      </c>
      <c r="M125" s="2">
        <v>441275.42</v>
      </c>
      <c r="N125" s="2">
        <v>58234.87</v>
      </c>
    </row>
    <row r="126" spans="1:14" ht="15.75" customHeight="1">
      <c r="A126" s="2" t="s">
        <v>53</v>
      </c>
      <c r="B126" s="3">
        <v>45658</v>
      </c>
      <c r="C126" s="2" t="s">
        <v>24</v>
      </c>
      <c r="D126" s="2" t="s">
        <v>18</v>
      </c>
      <c r="E126" s="2">
        <v>61541.21</v>
      </c>
      <c r="F126" s="2">
        <v>10396</v>
      </c>
      <c r="G126" s="2">
        <v>0.123</v>
      </c>
      <c r="H126" s="2">
        <v>25</v>
      </c>
      <c r="I126" s="2">
        <v>88.1</v>
      </c>
      <c r="J126" s="2">
        <v>2.34</v>
      </c>
      <c r="K126" s="2">
        <v>1</v>
      </c>
      <c r="L126" s="2">
        <v>4.8</v>
      </c>
      <c r="M126" s="2">
        <v>914544.17</v>
      </c>
      <c r="N126" s="2">
        <v>79831.73</v>
      </c>
    </row>
    <row r="127" spans="1:14" ht="15.75" customHeight="1">
      <c r="A127" s="2" t="s">
        <v>53</v>
      </c>
      <c r="B127" s="3">
        <v>45689</v>
      </c>
      <c r="C127" s="2" t="s">
        <v>24</v>
      </c>
      <c r="D127" s="2" t="s">
        <v>18</v>
      </c>
      <c r="E127" s="2">
        <v>44747</v>
      </c>
      <c r="F127" s="2">
        <v>11076</v>
      </c>
      <c r="G127" s="2">
        <v>0.17599999999999999</v>
      </c>
      <c r="H127" s="2">
        <v>27</v>
      </c>
      <c r="I127" s="2">
        <v>98.3</v>
      </c>
      <c r="J127" s="2">
        <v>0.54</v>
      </c>
      <c r="K127" s="2">
        <v>0</v>
      </c>
      <c r="L127" s="2">
        <v>4.4000000000000004</v>
      </c>
      <c r="M127" s="2">
        <v>842439.67</v>
      </c>
      <c r="N127" s="2">
        <v>169983.63</v>
      </c>
    </row>
    <row r="128" spans="1:14" ht="15.75" customHeight="1">
      <c r="A128" s="2" t="s">
        <v>53</v>
      </c>
      <c r="B128" s="3">
        <v>45717</v>
      </c>
      <c r="C128" s="2" t="s">
        <v>24</v>
      </c>
      <c r="D128" s="2" t="s">
        <v>18</v>
      </c>
      <c r="E128" s="2">
        <v>56517.9</v>
      </c>
      <c r="F128" s="2">
        <v>9574</v>
      </c>
      <c r="G128" s="2">
        <v>0.20399999999999999</v>
      </c>
      <c r="H128" s="2">
        <v>20</v>
      </c>
      <c r="I128" s="2">
        <v>88.2</v>
      </c>
      <c r="J128" s="2">
        <v>5.37</v>
      </c>
      <c r="K128" s="2">
        <v>1</v>
      </c>
      <c r="L128" s="2">
        <v>4.9000000000000004</v>
      </c>
      <c r="M128" s="2">
        <v>842157.92</v>
      </c>
      <c r="N128" s="2">
        <v>107348.22</v>
      </c>
    </row>
    <row r="129" spans="1:14" ht="15.75" customHeight="1">
      <c r="A129" s="2" t="s">
        <v>53</v>
      </c>
      <c r="B129" s="3">
        <v>45748</v>
      </c>
      <c r="C129" s="2" t="s">
        <v>24</v>
      </c>
      <c r="D129" s="2" t="s">
        <v>18</v>
      </c>
      <c r="E129" s="2">
        <v>37828.5</v>
      </c>
      <c r="F129" s="2">
        <v>8221</v>
      </c>
      <c r="G129" s="2">
        <v>9.6000000000000002E-2</v>
      </c>
      <c r="H129" s="2">
        <v>19</v>
      </c>
      <c r="I129" s="2">
        <v>81.5</v>
      </c>
      <c r="J129" s="2">
        <v>3.19</v>
      </c>
      <c r="K129" s="2">
        <v>0</v>
      </c>
      <c r="L129" s="2">
        <v>4.8</v>
      </c>
      <c r="M129" s="2">
        <v>697155.3</v>
      </c>
      <c r="N129" s="2">
        <v>136408.54</v>
      </c>
    </row>
    <row r="130" spans="1:14" ht="15.75" customHeight="1">
      <c r="A130" s="2" t="s">
        <v>54</v>
      </c>
      <c r="B130" s="3">
        <v>45658</v>
      </c>
      <c r="C130" s="2" t="s">
        <v>15</v>
      </c>
      <c r="D130" s="2" t="s">
        <v>18</v>
      </c>
      <c r="E130" s="2">
        <v>66250.53</v>
      </c>
      <c r="F130" s="2">
        <v>10618</v>
      </c>
      <c r="G130" s="2">
        <v>0.14199999999999999</v>
      </c>
      <c r="H130" s="2">
        <v>27</v>
      </c>
      <c r="I130" s="2">
        <v>88.3</v>
      </c>
      <c r="J130" s="2">
        <v>1.1000000000000001</v>
      </c>
      <c r="K130" s="2">
        <v>1</v>
      </c>
      <c r="L130" s="2">
        <v>4.4000000000000004</v>
      </c>
      <c r="M130" s="2">
        <v>849018.3</v>
      </c>
      <c r="N130" s="2">
        <v>149035.13</v>
      </c>
    </row>
    <row r="131" spans="1:14" ht="15.75" customHeight="1">
      <c r="A131" s="2" t="s">
        <v>54</v>
      </c>
      <c r="B131" s="3">
        <v>45689</v>
      </c>
      <c r="C131" s="2" t="s">
        <v>15</v>
      </c>
      <c r="D131" s="2" t="s">
        <v>18</v>
      </c>
      <c r="E131" s="2">
        <v>68410.929999999993</v>
      </c>
      <c r="F131" s="2">
        <v>10596</v>
      </c>
      <c r="G131" s="2">
        <v>0.20699999999999999</v>
      </c>
      <c r="H131" s="2">
        <v>25</v>
      </c>
      <c r="I131" s="2">
        <v>81.2</v>
      </c>
      <c r="J131" s="2">
        <v>0.21</v>
      </c>
      <c r="K131" s="2">
        <v>0</v>
      </c>
      <c r="L131" s="2">
        <v>4</v>
      </c>
      <c r="M131" s="2">
        <v>801830.35</v>
      </c>
      <c r="N131" s="2">
        <v>114875.32</v>
      </c>
    </row>
    <row r="132" spans="1:14" ht="15.75" customHeight="1">
      <c r="A132" s="2" t="s">
        <v>54</v>
      </c>
      <c r="B132" s="3">
        <v>45717</v>
      </c>
      <c r="C132" s="2" t="s">
        <v>15</v>
      </c>
      <c r="D132" s="2" t="s">
        <v>18</v>
      </c>
      <c r="E132" s="2">
        <v>50735.63</v>
      </c>
      <c r="F132" s="2">
        <v>9619</v>
      </c>
      <c r="G132" s="2">
        <v>0.14399999999999999</v>
      </c>
      <c r="H132" s="2">
        <v>19</v>
      </c>
      <c r="I132" s="2">
        <v>93.8</v>
      </c>
      <c r="J132" s="2">
        <v>5.12</v>
      </c>
      <c r="K132" s="2">
        <v>1</v>
      </c>
      <c r="L132" s="2">
        <v>4.5</v>
      </c>
      <c r="M132" s="2">
        <v>725235.28</v>
      </c>
      <c r="N132" s="2">
        <v>121632.24</v>
      </c>
    </row>
    <row r="133" spans="1:14" ht="15.75" customHeight="1">
      <c r="A133" s="2" t="s">
        <v>54</v>
      </c>
      <c r="B133" s="3">
        <v>45748</v>
      </c>
      <c r="C133" s="2" t="s">
        <v>15</v>
      </c>
      <c r="D133" s="2" t="s">
        <v>18</v>
      </c>
      <c r="E133" s="2">
        <v>66455.8</v>
      </c>
      <c r="F133" s="2">
        <v>10836</v>
      </c>
      <c r="G133" s="2">
        <v>8.8999999999999996E-2</v>
      </c>
      <c r="H133" s="2">
        <v>25</v>
      </c>
      <c r="I133" s="2">
        <v>85</v>
      </c>
      <c r="J133" s="2">
        <v>9.77</v>
      </c>
      <c r="K133" s="2">
        <v>0</v>
      </c>
      <c r="L133" s="2">
        <v>4.5</v>
      </c>
      <c r="M133" s="2">
        <v>811452.72</v>
      </c>
      <c r="N133" s="2">
        <v>131325.67000000001</v>
      </c>
    </row>
    <row r="134" spans="1:14" ht="15.75" customHeight="1">
      <c r="A134" s="2" t="s">
        <v>55</v>
      </c>
      <c r="B134" s="3">
        <v>45658</v>
      </c>
      <c r="C134" s="2" t="s">
        <v>20</v>
      </c>
      <c r="D134" s="2" t="s">
        <v>18</v>
      </c>
      <c r="E134" s="2">
        <v>70276.28</v>
      </c>
      <c r="F134" s="2">
        <v>3043</v>
      </c>
      <c r="G134" s="2">
        <v>7.9000000000000001E-2</v>
      </c>
      <c r="H134" s="2">
        <v>9</v>
      </c>
      <c r="I134" s="2">
        <v>87.9</v>
      </c>
      <c r="J134" s="2">
        <v>3.77</v>
      </c>
      <c r="K134" s="2">
        <v>0</v>
      </c>
      <c r="L134" s="2">
        <v>4.4000000000000004</v>
      </c>
      <c r="M134" s="2">
        <v>527300.13</v>
      </c>
      <c r="N134" s="2">
        <v>84197.87</v>
      </c>
    </row>
    <row r="135" spans="1:14" ht="15.75" customHeight="1">
      <c r="A135" s="2" t="s">
        <v>55</v>
      </c>
      <c r="B135" s="3">
        <v>45689</v>
      </c>
      <c r="C135" s="2" t="s">
        <v>20</v>
      </c>
      <c r="D135" s="2" t="s">
        <v>18</v>
      </c>
      <c r="E135" s="2">
        <v>22071.64</v>
      </c>
      <c r="F135" s="2">
        <v>1814</v>
      </c>
      <c r="G135" s="2">
        <v>0.19600000000000001</v>
      </c>
      <c r="H135" s="2">
        <v>8</v>
      </c>
      <c r="I135" s="2">
        <v>81.099999999999994</v>
      </c>
      <c r="J135" s="2">
        <v>0.78</v>
      </c>
      <c r="K135" s="2">
        <v>0</v>
      </c>
      <c r="L135" s="2"/>
      <c r="M135" s="2">
        <v>400831.65</v>
      </c>
      <c r="N135" s="2">
        <v>70979.31</v>
      </c>
    </row>
    <row r="136" spans="1:14" ht="15.75" customHeight="1">
      <c r="A136" s="2" t="s">
        <v>55</v>
      </c>
      <c r="B136" s="3">
        <v>45717</v>
      </c>
      <c r="C136" s="2" t="s">
        <v>20</v>
      </c>
      <c r="D136" s="2" t="s">
        <v>18</v>
      </c>
      <c r="E136" s="2">
        <v>52285.45</v>
      </c>
      <c r="F136" s="2">
        <v>3618</v>
      </c>
      <c r="G136" s="2">
        <v>8.5999999999999993E-2</v>
      </c>
      <c r="H136" s="2">
        <v>11</v>
      </c>
      <c r="I136" s="2">
        <v>95.6</v>
      </c>
      <c r="J136" s="2">
        <v>5.17</v>
      </c>
      <c r="K136" s="2">
        <v>1</v>
      </c>
      <c r="L136" s="2">
        <v>4.4000000000000004</v>
      </c>
      <c r="M136" s="2">
        <v>593247.25</v>
      </c>
      <c r="N136" s="2">
        <v>81240.289999999994</v>
      </c>
    </row>
    <row r="137" spans="1:14" ht="15.75" customHeight="1">
      <c r="A137" s="2" t="s">
        <v>55</v>
      </c>
      <c r="B137" s="3">
        <v>45748</v>
      </c>
      <c r="C137" s="2" t="s">
        <v>20</v>
      </c>
      <c r="D137" s="2" t="s">
        <v>18</v>
      </c>
      <c r="E137" s="2">
        <v>70366.759999999995</v>
      </c>
      <c r="F137" s="2">
        <v>1963</v>
      </c>
      <c r="G137" s="2">
        <v>0.182</v>
      </c>
      <c r="H137" s="2">
        <v>8</v>
      </c>
      <c r="I137" s="2">
        <v>89.8</v>
      </c>
      <c r="J137" s="2">
        <v>3.2</v>
      </c>
      <c r="K137" s="2">
        <v>0</v>
      </c>
      <c r="L137" s="2">
        <v>4.5999999999999996</v>
      </c>
      <c r="M137" s="2">
        <v>529075.94999999995</v>
      </c>
      <c r="N137" s="2">
        <v>95978.83</v>
      </c>
    </row>
    <row r="138" spans="1:14" ht="15.75" customHeight="1">
      <c r="A138" s="2" t="s">
        <v>56</v>
      </c>
      <c r="B138" s="3">
        <v>45658</v>
      </c>
      <c r="C138" s="2" t="s">
        <v>24</v>
      </c>
      <c r="D138" s="2" t="s">
        <v>16</v>
      </c>
      <c r="E138" s="2">
        <v>71320.66</v>
      </c>
      <c r="F138" s="2">
        <v>7888</v>
      </c>
      <c r="G138" s="2">
        <v>4.8000000000000001E-2</v>
      </c>
      <c r="H138" s="2">
        <v>20</v>
      </c>
      <c r="I138" s="2">
        <v>78.099999999999994</v>
      </c>
      <c r="J138" s="2">
        <v>3.4</v>
      </c>
      <c r="K138" s="2">
        <v>0</v>
      </c>
      <c r="L138" s="2"/>
      <c r="M138" s="2">
        <v>633638.03</v>
      </c>
      <c r="N138" s="2">
        <v>99402.01</v>
      </c>
    </row>
    <row r="139" spans="1:14" ht="15.75" customHeight="1">
      <c r="A139" s="2" t="s">
        <v>56</v>
      </c>
      <c r="B139" s="3">
        <v>45689</v>
      </c>
      <c r="C139" s="2" t="s">
        <v>24</v>
      </c>
      <c r="D139" s="2" t="s">
        <v>16</v>
      </c>
      <c r="E139" s="2">
        <v>75109.67</v>
      </c>
      <c r="F139" s="2">
        <v>6244</v>
      </c>
      <c r="G139" s="2">
        <v>7.9000000000000001E-2</v>
      </c>
      <c r="H139" s="2">
        <v>15</v>
      </c>
      <c r="I139" s="2">
        <v>96.3</v>
      </c>
      <c r="J139" s="2">
        <v>7.38</v>
      </c>
      <c r="K139" s="2">
        <v>0</v>
      </c>
      <c r="L139" s="2">
        <v>3.7</v>
      </c>
      <c r="M139" s="2">
        <v>743348.84</v>
      </c>
      <c r="N139" s="2">
        <v>104186.09</v>
      </c>
    </row>
    <row r="140" spans="1:14" ht="15.75" customHeight="1">
      <c r="A140" s="2" t="s">
        <v>56</v>
      </c>
      <c r="B140" s="3">
        <v>45717</v>
      </c>
      <c r="C140" s="2" t="s">
        <v>24</v>
      </c>
      <c r="D140" s="2" t="s">
        <v>16</v>
      </c>
      <c r="E140" s="2">
        <v>69779</v>
      </c>
      <c r="F140" s="2">
        <v>6544</v>
      </c>
      <c r="G140" s="2">
        <v>0.152</v>
      </c>
      <c r="H140" s="2">
        <v>18</v>
      </c>
      <c r="I140" s="2">
        <v>90.2</v>
      </c>
      <c r="J140" s="2">
        <v>0.85</v>
      </c>
      <c r="K140" s="2">
        <v>1</v>
      </c>
      <c r="L140" s="2">
        <v>3.3</v>
      </c>
      <c r="M140" s="2">
        <v>758827.64</v>
      </c>
      <c r="N140" s="2">
        <v>161439.48000000001</v>
      </c>
    </row>
    <row r="141" spans="1:14" ht="15.75" customHeight="1">
      <c r="A141" s="2" t="s">
        <v>56</v>
      </c>
      <c r="B141" s="3">
        <v>45748</v>
      </c>
      <c r="C141" s="2" t="s">
        <v>24</v>
      </c>
      <c r="D141" s="2" t="s">
        <v>16</v>
      </c>
      <c r="E141" s="2">
        <v>44211.95</v>
      </c>
      <c r="F141" s="2">
        <v>5465</v>
      </c>
      <c r="G141" s="2">
        <v>0.187</v>
      </c>
      <c r="H141" s="2">
        <v>12</v>
      </c>
      <c r="I141" s="2">
        <v>90</v>
      </c>
      <c r="J141" s="2">
        <v>2.89</v>
      </c>
      <c r="K141" s="2">
        <v>0</v>
      </c>
      <c r="L141" s="2">
        <v>3.6</v>
      </c>
      <c r="M141" s="2">
        <v>646559.71</v>
      </c>
      <c r="N141" s="2">
        <v>97981.75</v>
      </c>
    </row>
    <row r="142" spans="1:14" ht="15.75" customHeight="1">
      <c r="A142" s="2" t="s">
        <v>57</v>
      </c>
      <c r="B142" s="3">
        <v>45658</v>
      </c>
      <c r="C142" s="2" t="s">
        <v>27</v>
      </c>
      <c r="D142" s="2" t="s">
        <v>18</v>
      </c>
      <c r="E142" s="2">
        <v>51430.31</v>
      </c>
      <c r="F142" s="2">
        <v>6427</v>
      </c>
      <c r="G142" s="2">
        <v>0.23400000000000001</v>
      </c>
      <c r="H142" s="2">
        <v>14</v>
      </c>
      <c r="I142" s="2">
        <v>88.8</v>
      </c>
      <c r="J142" s="2">
        <v>0.77</v>
      </c>
      <c r="K142" s="2">
        <v>0</v>
      </c>
      <c r="L142" s="2">
        <v>4.0999999999999996</v>
      </c>
      <c r="M142" s="2">
        <v>715890.53</v>
      </c>
      <c r="N142" s="2">
        <v>109032.15</v>
      </c>
    </row>
    <row r="143" spans="1:14" ht="15.75" customHeight="1">
      <c r="A143" s="2" t="s">
        <v>57</v>
      </c>
      <c r="B143" s="3">
        <v>45689</v>
      </c>
      <c r="C143" s="2" t="s">
        <v>27</v>
      </c>
      <c r="D143" s="2" t="s">
        <v>18</v>
      </c>
      <c r="E143" s="2">
        <v>45706.49</v>
      </c>
      <c r="F143" s="2">
        <v>6704</v>
      </c>
      <c r="G143" s="2">
        <v>3.7999999999999999E-2</v>
      </c>
      <c r="H143" s="2">
        <v>15</v>
      </c>
      <c r="I143" s="2">
        <v>94.2</v>
      </c>
      <c r="J143" s="2">
        <v>2.92</v>
      </c>
      <c r="K143" s="2">
        <v>0</v>
      </c>
      <c r="L143" s="2">
        <v>4.2</v>
      </c>
      <c r="M143" s="2">
        <v>715097.57</v>
      </c>
      <c r="N143" s="2">
        <v>151875.85999999999</v>
      </c>
    </row>
    <row r="144" spans="1:14" ht="15.75" customHeight="1">
      <c r="A144" s="2" t="s">
        <v>57</v>
      </c>
      <c r="B144" s="3">
        <v>45717</v>
      </c>
      <c r="C144" s="2" t="s">
        <v>27</v>
      </c>
      <c r="D144" s="2" t="s">
        <v>18</v>
      </c>
      <c r="E144" s="2">
        <v>44034.6</v>
      </c>
      <c r="F144" s="2">
        <v>5645</v>
      </c>
      <c r="G144" s="2">
        <v>6.9000000000000006E-2</v>
      </c>
      <c r="H144" s="2">
        <v>18</v>
      </c>
      <c r="I144" s="2">
        <v>88.5</v>
      </c>
      <c r="J144" s="2">
        <v>3.07</v>
      </c>
      <c r="K144" s="2">
        <v>0</v>
      </c>
      <c r="L144" s="2">
        <v>3.8</v>
      </c>
      <c r="M144" s="2">
        <v>682639.28</v>
      </c>
      <c r="N144" s="2">
        <v>77557.53</v>
      </c>
    </row>
    <row r="145" spans="1:14" ht="15.75" customHeight="1">
      <c r="A145" s="2" t="s">
        <v>57</v>
      </c>
      <c r="B145" s="3">
        <v>45748</v>
      </c>
      <c r="C145" s="2" t="s">
        <v>27</v>
      </c>
      <c r="D145" s="2" t="s">
        <v>18</v>
      </c>
      <c r="E145" s="2">
        <v>50198.12</v>
      </c>
      <c r="F145" s="2">
        <v>6089</v>
      </c>
      <c r="G145" s="2">
        <v>0.182</v>
      </c>
      <c r="H145" s="2">
        <v>19</v>
      </c>
      <c r="I145" s="2">
        <v>94</v>
      </c>
      <c r="J145" s="2">
        <v>9.6999999999999993</v>
      </c>
      <c r="K145" s="2">
        <v>0</v>
      </c>
      <c r="L145" s="2">
        <v>3.9</v>
      </c>
      <c r="M145" s="2">
        <v>695098.51</v>
      </c>
      <c r="N145" s="2">
        <v>108192.75</v>
      </c>
    </row>
    <row r="146" spans="1:14" ht="15.75" customHeight="1">
      <c r="A146" s="2" t="s">
        <v>58</v>
      </c>
      <c r="B146" s="3">
        <v>45658</v>
      </c>
      <c r="C146" s="2" t="s">
        <v>20</v>
      </c>
      <c r="D146" s="2" t="s">
        <v>16</v>
      </c>
      <c r="E146" s="2">
        <v>70488.2</v>
      </c>
      <c r="F146" s="2">
        <v>4312</v>
      </c>
      <c r="G146" s="2">
        <v>0.16900000000000001</v>
      </c>
      <c r="H146" s="2">
        <v>12</v>
      </c>
      <c r="I146" s="2">
        <v>90.2</v>
      </c>
      <c r="J146" s="2">
        <v>3.71</v>
      </c>
      <c r="K146" s="2">
        <v>0</v>
      </c>
      <c r="L146" s="2">
        <v>3.2</v>
      </c>
      <c r="M146" s="2">
        <v>577732.56999999995</v>
      </c>
      <c r="N146" s="2">
        <v>93804.27</v>
      </c>
    </row>
    <row r="147" spans="1:14" ht="15.75" customHeight="1">
      <c r="A147" s="2" t="s">
        <v>58</v>
      </c>
      <c r="B147" s="3">
        <v>45689</v>
      </c>
      <c r="C147" s="2" t="s">
        <v>20</v>
      </c>
      <c r="D147" s="2" t="s">
        <v>16</v>
      </c>
      <c r="E147" s="2">
        <v>50909.27</v>
      </c>
      <c r="F147" s="2">
        <v>3152</v>
      </c>
      <c r="G147" s="2">
        <v>0.06</v>
      </c>
      <c r="H147" s="2">
        <v>13</v>
      </c>
      <c r="I147" s="2">
        <v>93.7</v>
      </c>
      <c r="J147" s="2">
        <v>10.79</v>
      </c>
      <c r="K147" s="2">
        <v>0</v>
      </c>
      <c r="L147" s="2">
        <v>3.5</v>
      </c>
      <c r="M147" s="2">
        <v>537058.32999999996</v>
      </c>
      <c r="N147" s="2">
        <v>93555.71</v>
      </c>
    </row>
    <row r="148" spans="1:14" ht="15.75" customHeight="1">
      <c r="A148" s="2" t="s">
        <v>58</v>
      </c>
      <c r="B148" s="3">
        <v>45717</v>
      </c>
      <c r="C148" s="2" t="s">
        <v>20</v>
      </c>
      <c r="D148" s="2" t="s">
        <v>16</v>
      </c>
      <c r="E148" s="2">
        <v>53351.7</v>
      </c>
      <c r="F148" s="2">
        <v>4259</v>
      </c>
      <c r="G148" s="2">
        <v>0.156</v>
      </c>
      <c r="H148" s="2">
        <v>15</v>
      </c>
      <c r="I148" s="2">
        <v>93.7</v>
      </c>
      <c r="J148" s="2">
        <v>6.03</v>
      </c>
      <c r="K148" s="2">
        <v>0</v>
      </c>
      <c r="L148" s="2">
        <v>3.4</v>
      </c>
      <c r="M148" s="2">
        <v>601568.87</v>
      </c>
      <c r="N148" s="2">
        <v>91634.82</v>
      </c>
    </row>
    <row r="149" spans="1:14" ht="15.75" customHeight="1">
      <c r="A149" s="2" t="s">
        <v>58</v>
      </c>
      <c r="B149" s="3">
        <v>45748</v>
      </c>
      <c r="C149" s="2" t="s">
        <v>20</v>
      </c>
      <c r="D149" s="2" t="s">
        <v>16</v>
      </c>
      <c r="E149" s="2">
        <v>60322.400000000001</v>
      </c>
      <c r="F149" s="2">
        <v>3350</v>
      </c>
      <c r="G149" s="2">
        <v>0.108</v>
      </c>
      <c r="H149" s="2">
        <v>12</v>
      </c>
      <c r="I149" s="2">
        <v>89.4</v>
      </c>
      <c r="J149" s="2">
        <v>4.92</v>
      </c>
      <c r="K149" s="2">
        <v>0</v>
      </c>
      <c r="L149" s="2">
        <v>3.4</v>
      </c>
      <c r="M149" s="2">
        <v>570964.84</v>
      </c>
      <c r="N149" s="2">
        <v>81331.070000000007</v>
      </c>
    </row>
    <row r="150" spans="1:14" ht="15.75" customHeight="1">
      <c r="A150" s="2" t="s">
        <v>59</v>
      </c>
      <c r="B150" s="3">
        <v>45658</v>
      </c>
      <c r="C150" s="2" t="s">
        <v>24</v>
      </c>
      <c r="D150" s="2" t="s">
        <v>28</v>
      </c>
      <c r="E150" s="2">
        <v>51575.68</v>
      </c>
      <c r="F150" s="2">
        <v>5329</v>
      </c>
      <c r="G150" s="2">
        <v>4.7E-2</v>
      </c>
      <c r="H150" s="2">
        <v>17</v>
      </c>
      <c r="I150" s="2">
        <v>88.1</v>
      </c>
      <c r="J150" s="2">
        <v>19.78</v>
      </c>
      <c r="K150" s="2">
        <v>0</v>
      </c>
      <c r="L150" s="2">
        <v>3.8</v>
      </c>
      <c r="M150" s="2">
        <v>614024.91</v>
      </c>
      <c r="N150" s="2">
        <v>84828.93</v>
      </c>
    </row>
    <row r="151" spans="1:14" ht="15.75" customHeight="1">
      <c r="A151" s="2" t="s">
        <v>59</v>
      </c>
      <c r="B151" s="3">
        <v>45689</v>
      </c>
      <c r="C151" s="2" t="s">
        <v>24</v>
      </c>
      <c r="D151" s="2" t="s">
        <v>28</v>
      </c>
      <c r="E151" s="2">
        <v>43319.94</v>
      </c>
      <c r="F151" s="2">
        <v>6551</v>
      </c>
      <c r="G151" s="2">
        <v>4.3999999999999997E-2</v>
      </c>
      <c r="H151" s="2">
        <v>13</v>
      </c>
      <c r="I151" s="2">
        <v>99</v>
      </c>
      <c r="J151" s="2">
        <v>5.45</v>
      </c>
      <c r="K151" s="2">
        <v>0</v>
      </c>
      <c r="L151" s="2">
        <v>4.0999999999999996</v>
      </c>
      <c r="M151" s="2">
        <v>712868.35</v>
      </c>
      <c r="N151" s="2">
        <v>133650.51</v>
      </c>
    </row>
    <row r="152" spans="1:14" ht="15.75" customHeight="1">
      <c r="A152" s="2" t="s">
        <v>59</v>
      </c>
      <c r="B152" s="3">
        <v>45717</v>
      </c>
      <c r="C152" s="2" t="s">
        <v>24</v>
      </c>
      <c r="D152" s="2" t="s">
        <v>28</v>
      </c>
      <c r="E152" s="2">
        <v>47093.55</v>
      </c>
      <c r="F152" s="2">
        <v>5550</v>
      </c>
      <c r="G152" s="2">
        <v>0.1</v>
      </c>
      <c r="H152" s="2">
        <v>12</v>
      </c>
      <c r="I152" s="2">
        <v>95</v>
      </c>
      <c r="J152" s="2">
        <v>2.33</v>
      </c>
      <c r="K152" s="2">
        <v>1</v>
      </c>
      <c r="L152" s="2">
        <v>3.7</v>
      </c>
      <c r="M152" s="2">
        <v>696744.15</v>
      </c>
      <c r="N152" s="2">
        <v>152230.09</v>
      </c>
    </row>
    <row r="153" spans="1:14" ht="15.75" customHeight="1">
      <c r="A153" s="2" t="s">
        <v>59</v>
      </c>
      <c r="B153" s="3">
        <v>45748</v>
      </c>
      <c r="C153" s="2" t="s">
        <v>24</v>
      </c>
      <c r="D153" s="2" t="s">
        <v>28</v>
      </c>
      <c r="E153" s="2">
        <v>71855.09</v>
      </c>
      <c r="F153" s="2">
        <v>5911</v>
      </c>
      <c r="G153" s="2">
        <v>0.19700000000000001</v>
      </c>
      <c r="H153" s="2">
        <v>15</v>
      </c>
      <c r="I153" s="2">
        <v>94.3</v>
      </c>
      <c r="J153" s="2">
        <v>3.55</v>
      </c>
      <c r="K153" s="2">
        <v>0</v>
      </c>
      <c r="L153" s="2">
        <v>4.0999999999999996</v>
      </c>
      <c r="M153" s="2">
        <v>725847.99</v>
      </c>
      <c r="N153" s="2">
        <v>122698.73</v>
      </c>
    </row>
    <row r="154" spans="1:14" ht="15.75" customHeight="1">
      <c r="A154" s="2" t="s">
        <v>60</v>
      </c>
      <c r="B154" s="3">
        <v>45658</v>
      </c>
      <c r="C154" s="2" t="s">
        <v>15</v>
      </c>
      <c r="D154" s="2" t="s">
        <v>18</v>
      </c>
      <c r="E154" s="2">
        <v>75645.23</v>
      </c>
      <c r="F154" s="2">
        <v>9674</v>
      </c>
      <c r="G154" s="2">
        <v>0.23400000000000001</v>
      </c>
      <c r="H154" s="2">
        <v>21</v>
      </c>
      <c r="I154" s="2">
        <v>87.4</v>
      </c>
      <c r="J154" s="2">
        <v>0.2</v>
      </c>
      <c r="K154" s="2">
        <v>0</v>
      </c>
      <c r="L154" s="2">
        <v>4.5</v>
      </c>
      <c r="M154" s="2">
        <v>785028.25</v>
      </c>
      <c r="N154" s="2">
        <v>110726.44</v>
      </c>
    </row>
    <row r="155" spans="1:14" ht="15.75" customHeight="1">
      <c r="A155" s="2" t="s">
        <v>60</v>
      </c>
      <c r="B155" s="3">
        <v>45689</v>
      </c>
      <c r="C155" s="2" t="s">
        <v>15</v>
      </c>
      <c r="D155" s="2" t="s">
        <v>18</v>
      </c>
      <c r="E155" s="2">
        <v>64374.75</v>
      </c>
      <c r="F155" s="2">
        <v>6740</v>
      </c>
      <c r="G155" s="2">
        <v>0.16900000000000001</v>
      </c>
      <c r="H155" s="2">
        <v>18</v>
      </c>
      <c r="I155" s="2">
        <v>87</v>
      </c>
      <c r="J155" s="2">
        <v>2.09</v>
      </c>
      <c r="K155" s="2">
        <v>0</v>
      </c>
      <c r="L155" s="2">
        <v>4.2</v>
      </c>
      <c r="M155" s="2">
        <v>698492.67</v>
      </c>
      <c r="N155" s="2">
        <v>117319.32</v>
      </c>
    </row>
    <row r="156" spans="1:14" ht="15.75" customHeight="1">
      <c r="A156" s="2" t="s">
        <v>60</v>
      </c>
      <c r="B156" s="3">
        <v>45717</v>
      </c>
      <c r="C156" s="2" t="s">
        <v>15</v>
      </c>
      <c r="D156" s="2" t="s">
        <v>18</v>
      </c>
      <c r="E156" s="2">
        <v>61433.84</v>
      </c>
      <c r="F156" s="2">
        <v>7745</v>
      </c>
      <c r="G156" s="2">
        <v>0.18</v>
      </c>
      <c r="H156" s="2">
        <v>16</v>
      </c>
      <c r="I156" s="2">
        <v>90.5</v>
      </c>
      <c r="J156" s="2">
        <v>2.2599999999999998</v>
      </c>
      <c r="K156" s="2">
        <v>0</v>
      </c>
      <c r="L156" s="2">
        <v>4.2</v>
      </c>
      <c r="M156" s="2">
        <v>685830.24</v>
      </c>
      <c r="N156" s="2">
        <v>128736.18</v>
      </c>
    </row>
    <row r="157" spans="1:14" ht="15.75" customHeight="1">
      <c r="A157" s="2" t="s">
        <v>60</v>
      </c>
      <c r="B157" s="3">
        <v>45748</v>
      </c>
      <c r="C157" s="2" t="s">
        <v>15</v>
      </c>
      <c r="D157" s="2" t="s">
        <v>18</v>
      </c>
      <c r="E157" s="2">
        <v>42698.14</v>
      </c>
      <c r="F157" s="2">
        <v>7693</v>
      </c>
      <c r="G157" s="2">
        <v>0.187</v>
      </c>
      <c r="H157" s="2">
        <v>19</v>
      </c>
      <c r="I157" s="2">
        <v>90.1</v>
      </c>
      <c r="J157" s="2">
        <v>0.44</v>
      </c>
      <c r="K157" s="2">
        <v>0</v>
      </c>
      <c r="L157" s="2">
        <v>4.4000000000000004</v>
      </c>
      <c r="M157" s="2">
        <v>702318.94</v>
      </c>
      <c r="N157" s="2">
        <v>112829.29</v>
      </c>
    </row>
    <row r="158" spans="1:14" ht="15.75" customHeight="1">
      <c r="A158" s="2" t="s">
        <v>61</v>
      </c>
      <c r="B158" s="3">
        <v>45658</v>
      </c>
      <c r="C158" s="2" t="s">
        <v>20</v>
      </c>
      <c r="D158" s="2" t="s">
        <v>28</v>
      </c>
      <c r="E158" s="2">
        <v>86883.31</v>
      </c>
      <c r="F158" s="2">
        <v>6424</v>
      </c>
      <c r="G158" s="2">
        <v>5.7000000000000002E-2</v>
      </c>
      <c r="H158" s="2">
        <v>19</v>
      </c>
      <c r="I158" s="2">
        <v>85.2</v>
      </c>
      <c r="J158" s="2">
        <v>3.08</v>
      </c>
      <c r="K158" s="2">
        <v>0</v>
      </c>
      <c r="L158" s="2">
        <v>3.9</v>
      </c>
      <c r="M158" s="2">
        <v>700078.32</v>
      </c>
      <c r="N158" s="2">
        <v>123707.58</v>
      </c>
    </row>
    <row r="159" spans="1:14" ht="15.75" customHeight="1">
      <c r="A159" s="2" t="s">
        <v>61</v>
      </c>
      <c r="B159" s="3">
        <v>45689</v>
      </c>
      <c r="C159" s="2" t="s">
        <v>20</v>
      </c>
      <c r="D159" s="2" t="s">
        <v>28</v>
      </c>
      <c r="E159" s="2">
        <v>41863.08</v>
      </c>
      <c r="F159" s="2">
        <v>5400</v>
      </c>
      <c r="G159" s="2">
        <v>0.114</v>
      </c>
      <c r="H159" s="2">
        <v>11</v>
      </c>
      <c r="I159" s="2">
        <v>91.6</v>
      </c>
      <c r="J159" s="2">
        <v>7.99</v>
      </c>
      <c r="K159" s="2">
        <v>0</v>
      </c>
      <c r="L159" s="2">
        <v>3</v>
      </c>
      <c r="M159" s="2">
        <v>602002.31999999995</v>
      </c>
      <c r="N159" s="2">
        <v>110453.28</v>
      </c>
    </row>
    <row r="160" spans="1:14" ht="15.75" customHeight="1">
      <c r="A160" s="2" t="s">
        <v>61</v>
      </c>
      <c r="B160" s="3">
        <v>45717</v>
      </c>
      <c r="C160" s="2" t="s">
        <v>20</v>
      </c>
      <c r="D160" s="2" t="s">
        <v>28</v>
      </c>
      <c r="E160" s="2">
        <v>56918.16</v>
      </c>
      <c r="F160" s="2">
        <v>7015</v>
      </c>
      <c r="G160" s="2">
        <v>0.158</v>
      </c>
      <c r="H160" s="2">
        <v>18</v>
      </c>
      <c r="I160" s="2">
        <v>74.2</v>
      </c>
      <c r="J160" s="2">
        <v>0.2</v>
      </c>
      <c r="K160" s="2">
        <v>0</v>
      </c>
      <c r="L160" s="2">
        <v>3.4</v>
      </c>
      <c r="M160" s="2">
        <v>724216.07</v>
      </c>
      <c r="N160" s="2">
        <v>100627.56</v>
      </c>
    </row>
    <row r="161" spans="1:14" ht="15.75" customHeight="1">
      <c r="A161" s="2" t="s">
        <v>61</v>
      </c>
      <c r="B161" s="3">
        <v>45748</v>
      </c>
      <c r="C161" s="2" t="s">
        <v>20</v>
      </c>
      <c r="D161" s="2" t="s">
        <v>28</v>
      </c>
      <c r="E161" s="2">
        <v>23254.57</v>
      </c>
      <c r="F161" s="2">
        <v>3847</v>
      </c>
      <c r="G161" s="2">
        <v>0.159</v>
      </c>
      <c r="H161" s="2">
        <v>12</v>
      </c>
      <c r="I161" s="2">
        <v>93</v>
      </c>
      <c r="J161" s="2">
        <v>5.46</v>
      </c>
      <c r="K161" s="2">
        <v>0</v>
      </c>
      <c r="L161" s="2">
        <v>3.3</v>
      </c>
      <c r="M161" s="2">
        <v>620973.03</v>
      </c>
      <c r="N161" s="2">
        <v>72303.850000000006</v>
      </c>
    </row>
    <row r="162" spans="1:14" ht="15.75" customHeight="1">
      <c r="A162" s="2" t="s">
        <v>62</v>
      </c>
      <c r="B162" s="3">
        <v>45658</v>
      </c>
      <c r="C162" s="2" t="s">
        <v>24</v>
      </c>
      <c r="D162" s="2" t="s">
        <v>18</v>
      </c>
      <c r="E162" s="2">
        <v>41443.410000000003</v>
      </c>
      <c r="F162" s="2">
        <v>7455</v>
      </c>
      <c r="G162" s="2">
        <v>0.17499999999999999</v>
      </c>
      <c r="H162" s="2">
        <v>16</v>
      </c>
      <c r="I162" s="2">
        <v>90.1</v>
      </c>
      <c r="J162" s="2">
        <v>4.05</v>
      </c>
      <c r="K162" s="2">
        <v>0</v>
      </c>
      <c r="L162" s="2">
        <v>4</v>
      </c>
      <c r="M162" s="2">
        <v>650480.06000000006</v>
      </c>
      <c r="N162" s="2">
        <v>109012.07</v>
      </c>
    </row>
    <row r="163" spans="1:14" ht="15.75" customHeight="1">
      <c r="A163" s="2" t="s">
        <v>62</v>
      </c>
      <c r="B163" s="3">
        <v>45689</v>
      </c>
      <c r="C163" s="2" t="s">
        <v>24</v>
      </c>
      <c r="D163" s="2" t="s">
        <v>18</v>
      </c>
      <c r="E163" s="2">
        <v>48438.85</v>
      </c>
      <c r="F163" s="2">
        <v>6992</v>
      </c>
      <c r="G163" s="2">
        <v>3.4000000000000002E-2</v>
      </c>
      <c r="H163" s="2">
        <v>20</v>
      </c>
      <c r="I163" s="2">
        <v>91</v>
      </c>
      <c r="J163" s="2">
        <v>4.3600000000000003</v>
      </c>
      <c r="K163" s="2">
        <v>0</v>
      </c>
      <c r="L163" s="2">
        <v>4.2</v>
      </c>
      <c r="M163" s="2">
        <v>778298.88</v>
      </c>
      <c r="N163" s="2">
        <v>130076.72</v>
      </c>
    </row>
    <row r="164" spans="1:14" ht="15.75" customHeight="1">
      <c r="A164" s="2" t="s">
        <v>62</v>
      </c>
      <c r="B164" s="3">
        <v>45717</v>
      </c>
      <c r="C164" s="2" t="s">
        <v>24</v>
      </c>
      <c r="D164" s="2" t="s">
        <v>18</v>
      </c>
      <c r="E164" s="2">
        <v>57143.3</v>
      </c>
      <c r="F164" s="2">
        <v>8038</v>
      </c>
      <c r="G164" s="2">
        <v>0.193</v>
      </c>
      <c r="H164" s="2">
        <v>17</v>
      </c>
      <c r="I164" s="2">
        <v>72.599999999999994</v>
      </c>
      <c r="J164" s="2"/>
      <c r="K164" s="2">
        <v>0</v>
      </c>
      <c r="L164" s="2">
        <v>4.2</v>
      </c>
      <c r="M164" s="2">
        <v>677096.71</v>
      </c>
      <c r="N164" s="2">
        <v>97174.11</v>
      </c>
    </row>
    <row r="165" spans="1:14" ht="15.75" customHeight="1">
      <c r="A165" s="2" t="s">
        <v>62</v>
      </c>
      <c r="B165" s="3">
        <v>45748</v>
      </c>
      <c r="C165" s="2" t="s">
        <v>24</v>
      </c>
      <c r="D165" s="2" t="s">
        <v>18</v>
      </c>
      <c r="E165" s="2">
        <v>66870.62</v>
      </c>
      <c r="F165" s="2">
        <v>6055</v>
      </c>
      <c r="G165" s="2">
        <v>7.4999999999999997E-2</v>
      </c>
      <c r="H165" s="2">
        <v>19</v>
      </c>
      <c r="I165" s="2">
        <v>93.8</v>
      </c>
      <c r="J165" s="2">
        <v>0.54</v>
      </c>
      <c r="K165" s="2">
        <v>0</v>
      </c>
      <c r="L165" s="2">
        <v>4.3</v>
      </c>
      <c r="M165" s="2">
        <v>692008.64</v>
      </c>
      <c r="N165" s="2">
        <v>116337.87</v>
      </c>
    </row>
    <row r="166" spans="1:14" ht="15.75" customHeight="1">
      <c r="A166" s="2" t="s">
        <v>63</v>
      </c>
      <c r="B166" s="3">
        <v>45658</v>
      </c>
      <c r="C166" s="2" t="s">
        <v>20</v>
      </c>
      <c r="D166" s="2" t="s">
        <v>28</v>
      </c>
      <c r="E166" s="2">
        <v>72150.53</v>
      </c>
      <c r="F166" s="2">
        <v>9323</v>
      </c>
      <c r="G166" s="2">
        <v>0.157</v>
      </c>
      <c r="H166" s="2">
        <v>22</v>
      </c>
      <c r="I166" s="2">
        <v>82.9</v>
      </c>
      <c r="J166" s="2">
        <v>11.37</v>
      </c>
      <c r="K166" s="2">
        <v>1</v>
      </c>
      <c r="L166" s="2">
        <v>4.3</v>
      </c>
      <c r="M166" s="2">
        <v>825797.91</v>
      </c>
      <c r="N166" s="2">
        <v>130945.24</v>
      </c>
    </row>
    <row r="167" spans="1:14" ht="15.75" customHeight="1">
      <c r="A167" s="2" t="s">
        <v>63</v>
      </c>
      <c r="B167" s="3">
        <v>45689</v>
      </c>
      <c r="C167" s="2" t="s">
        <v>20</v>
      </c>
      <c r="D167" s="2" t="s">
        <v>28</v>
      </c>
      <c r="E167" s="2">
        <v>35303.300000000003</v>
      </c>
      <c r="F167" s="2">
        <v>8789</v>
      </c>
      <c r="G167" s="2">
        <v>0.123</v>
      </c>
      <c r="H167" s="2">
        <v>22</v>
      </c>
      <c r="I167" s="2">
        <v>86.1</v>
      </c>
      <c r="J167" s="2">
        <v>9.43</v>
      </c>
      <c r="K167" s="2">
        <v>0</v>
      </c>
      <c r="L167" s="2">
        <v>4.2</v>
      </c>
      <c r="M167" s="2">
        <v>706285.52</v>
      </c>
      <c r="N167" s="2">
        <v>138014.72</v>
      </c>
    </row>
    <row r="168" spans="1:14" ht="15.75" customHeight="1">
      <c r="A168" s="2" t="s">
        <v>63</v>
      </c>
      <c r="B168" s="3">
        <v>45717</v>
      </c>
      <c r="C168" s="2" t="s">
        <v>20</v>
      </c>
      <c r="D168" s="2" t="s">
        <v>28</v>
      </c>
      <c r="E168" s="2">
        <v>30301.86</v>
      </c>
      <c r="F168" s="2">
        <v>6939</v>
      </c>
      <c r="G168" s="2">
        <v>0.09</v>
      </c>
      <c r="H168" s="2">
        <v>16</v>
      </c>
      <c r="I168" s="2">
        <v>90.3</v>
      </c>
      <c r="J168" s="2">
        <v>3.49</v>
      </c>
      <c r="K168" s="2">
        <v>0</v>
      </c>
      <c r="L168" s="2">
        <v>4</v>
      </c>
      <c r="M168" s="2">
        <v>665534.69999999995</v>
      </c>
      <c r="N168" s="2">
        <v>113167.73</v>
      </c>
    </row>
    <row r="169" spans="1:14" ht="15.75" customHeight="1">
      <c r="A169" s="2" t="s">
        <v>63</v>
      </c>
      <c r="B169" s="3">
        <v>45748</v>
      </c>
      <c r="C169" s="2" t="s">
        <v>20</v>
      </c>
      <c r="D169" s="2" t="s">
        <v>28</v>
      </c>
      <c r="E169" s="2">
        <v>78432.14</v>
      </c>
      <c r="F169" s="2">
        <v>9440</v>
      </c>
      <c r="G169" s="2">
        <v>0.126</v>
      </c>
      <c r="H169" s="2">
        <v>23</v>
      </c>
      <c r="I169" s="2">
        <v>89.2</v>
      </c>
      <c r="J169" s="2">
        <v>7.86</v>
      </c>
      <c r="K169" s="2">
        <v>0</v>
      </c>
      <c r="L169" s="2">
        <v>4.0999999999999996</v>
      </c>
      <c r="M169" s="2">
        <v>820729.29</v>
      </c>
      <c r="N169" s="2">
        <v>159325.47</v>
      </c>
    </row>
    <row r="170" spans="1:14" ht="15.75" customHeight="1">
      <c r="A170" s="2" t="s">
        <v>64</v>
      </c>
      <c r="B170" s="3">
        <v>45658</v>
      </c>
      <c r="C170" s="2" t="s">
        <v>15</v>
      </c>
      <c r="D170" s="2" t="s">
        <v>16</v>
      </c>
      <c r="E170" s="2">
        <v>62059.18</v>
      </c>
      <c r="F170" s="2">
        <v>9374</v>
      </c>
      <c r="G170" s="2">
        <v>0.13600000000000001</v>
      </c>
      <c r="H170" s="2">
        <v>25</v>
      </c>
      <c r="I170" s="2">
        <v>87.1</v>
      </c>
      <c r="J170" s="2">
        <v>12.55</v>
      </c>
      <c r="K170" s="2">
        <v>0</v>
      </c>
      <c r="L170" s="2">
        <v>4.9000000000000004</v>
      </c>
      <c r="M170" s="2">
        <v>739831.73</v>
      </c>
      <c r="N170" s="2">
        <v>119490.21</v>
      </c>
    </row>
    <row r="171" spans="1:14" ht="15.75" customHeight="1">
      <c r="A171" s="2" t="s">
        <v>64</v>
      </c>
      <c r="B171" s="3">
        <v>45689</v>
      </c>
      <c r="C171" s="2" t="s">
        <v>15</v>
      </c>
      <c r="D171" s="2" t="s">
        <v>16</v>
      </c>
      <c r="E171" s="2">
        <v>32834.480000000003</v>
      </c>
      <c r="F171" s="2">
        <v>7576</v>
      </c>
      <c r="G171" s="2">
        <v>9.9000000000000005E-2</v>
      </c>
      <c r="H171" s="2">
        <v>15</v>
      </c>
      <c r="I171" s="2">
        <v>84.1</v>
      </c>
      <c r="J171" s="2">
        <v>3.48</v>
      </c>
      <c r="K171" s="2">
        <v>0</v>
      </c>
      <c r="L171" s="2">
        <v>5</v>
      </c>
      <c r="M171" s="2">
        <v>593637.14</v>
      </c>
      <c r="N171" s="2">
        <v>106648.14</v>
      </c>
    </row>
    <row r="172" spans="1:14" ht="15.75" customHeight="1">
      <c r="A172" s="2" t="s">
        <v>64</v>
      </c>
      <c r="B172" s="3">
        <v>45717</v>
      </c>
      <c r="C172" s="2" t="s">
        <v>15</v>
      </c>
      <c r="D172" s="2" t="s">
        <v>16</v>
      </c>
      <c r="E172" s="2">
        <v>50825.08</v>
      </c>
      <c r="F172" s="2">
        <v>8949</v>
      </c>
      <c r="G172" s="2">
        <v>0.157</v>
      </c>
      <c r="H172" s="2">
        <v>21</v>
      </c>
      <c r="I172" s="2">
        <v>84.7</v>
      </c>
      <c r="J172" s="2">
        <v>7.73</v>
      </c>
      <c r="K172" s="2">
        <v>0</v>
      </c>
      <c r="L172" s="2">
        <v>4.9000000000000004</v>
      </c>
      <c r="M172" s="2">
        <v>769702.76</v>
      </c>
      <c r="N172" s="2">
        <v>158697</v>
      </c>
    </row>
    <row r="173" spans="1:14" ht="15.75" customHeight="1">
      <c r="A173" s="2" t="s">
        <v>64</v>
      </c>
      <c r="B173" s="3">
        <v>45748</v>
      </c>
      <c r="C173" s="2" t="s">
        <v>15</v>
      </c>
      <c r="D173" s="2" t="s">
        <v>16</v>
      </c>
      <c r="E173" s="2">
        <v>36606.51</v>
      </c>
      <c r="F173" s="2">
        <v>7671</v>
      </c>
      <c r="G173" s="2">
        <v>0.11799999999999999</v>
      </c>
      <c r="H173" s="2">
        <v>18</v>
      </c>
      <c r="I173" s="2">
        <v>89.8</v>
      </c>
      <c r="J173" s="2">
        <v>0.25</v>
      </c>
      <c r="K173" s="2">
        <v>0</v>
      </c>
      <c r="L173" s="2">
        <v>4.4000000000000004</v>
      </c>
      <c r="M173" s="2">
        <v>679731.57</v>
      </c>
      <c r="N173" s="2">
        <v>121546.42</v>
      </c>
    </row>
    <row r="174" spans="1:14" ht="15.75" customHeight="1">
      <c r="A174" s="2" t="s">
        <v>65</v>
      </c>
      <c r="B174" s="3">
        <v>45658</v>
      </c>
      <c r="C174" s="2" t="s">
        <v>15</v>
      </c>
      <c r="D174" s="2" t="s">
        <v>16</v>
      </c>
      <c r="E174" s="2">
        <v>65237.79</v>
      </c>
      <c r="F174" s="2">
        <v>8741</v>
      </c>
      <c r="G174" s="2">
        <v>0.157</v>
      </c>
      <c r="H174" s="2">
        <v>20</v>
      </c>
      <c r="I174" s="2">
        <v>94.4</v>
      </c>
      <c r="J174" s="2">
        <v>6.43</v>
      </c>
      <c r="K174" s="2">
        <v>0</v>
      </c>
      <c r="L174" s="2">
        <v>3.3</v>
      </c>
      <c r="M174" s="2">
        <v>780344.18</v>
      </c>
      <c r="N174" s="2">
        <v>118239.09</v>
      </c>
    </row>
    <row r="175" spans="1:14" ht="15.75" customHeight="1">
      <c r="A175" s="2" t="s">
        <v>65</v>
      </c>
      <c r="B175" s="3">
        <v>45689</v>
      </c>
      <c r="C175" s="2" t="s">
        <v>15</v>
      </c>
      <c r="D175" s="2" t="s">
        <v>16</v>
      </c>
      <c r="E175" s="2">
        <v>43645.98</v>
      </c>
      <c r="F175" s="2">
        <v>9480</v>
      </c>
      <c r="G175" s="2">
        <v>0.109</v>
      </c>
      <c r="H175" s="2">
        <v>22</v>
      </c>
      <c r="I175" s="2">
        <v>89</v>
      </c>
      <c r="J175" s="2">
        <v>2.11</v>
      </c>
      <c r="K175" s="2">
        <v>0</v>
      </c>
      <c r="L175" s="2">
        <v>3.1</v>
      </c>
      <c r="M175" s="2">
        <v>721364.11</v>
      </c>
      <c r="N175" s="2">
        <v>147272.81</v>
      </c>
    </row>
    <row r="176" spans="1:14" ht="15.75" customHeight="1">
      <c r="A176" s="2" t="s">
        <v>65</v>
      </c>
      <c r="B176" s="3">
        <v>45717</v>
      </c>
      <c r="C176" s="2" t="s">
        <v>15</v>
      </c>
      <c r="D176" s="2" t="s">
        <v>16</v>
      </c>
      <c r="E176" s="2">
        <v>68040.149999999994</v>
      </c>
      <c r="F176" s="2">
        <v>9826</v>
      </c>
      <c r="G176" s="2">
        <v>0.125</v>
      </c>
      <c r="H176" s="2">
        <v>20</v>
      </c>
      <c r="I176" s="2">
        <v>83.9</v>
      </c>
      <c r="J176" s="2">
        <v>9.1199999999999992</v>
      </c>
      <c r="K176" s="2">
        <v>0</v>
      </c>
      <c r="L176" s="2">
        <v>3.6</v>
      </c>
      <c r="M176" s="2">
        <v>758138.29</v>
      </c>
      <c r="N176" s="2">
        <v>132975.26</v>
      </c>
    </row>
    <row r="177" spans="1:14" ht="15.75" customHeight="1">
      <c r="A177" s="2" t="s">
        <v>65</v>
      </c>
      <c r="B177" s="3">
        <v>45748</v>
      </c>
      <c r="C177" s="2" t="s">
        <v>15</v>
      </c>
      <c r="D177" s="2" t="s">
        <v>16</v>
      </c>
      <c r="E177" s="2">
        <v>63043.94</v>
      </c>
      <c r="F177" s="2">
        <v>10402</v>
      </c>
      <c r="G177" s="2">
        <v>0.159</v>
      </c>
      <c r="H177" s="2">
        <v>23</v>
      </c>
      <c r="I177" s="2">
        <v>93.9</v>
      </c>
      <c r="J177" s="2">
        <v>2.71</v>
      </c>
      <c r="K177" s="2">
        <v>0</v>
      </c>
      <c r="L177" s="2">
        <v>3.1</v>
      </c>
      <c r="M177" s="2">
        <v>804264</v>
      </c>
      <c r="N177" s="2">
        <v>167117.91</v>
      </c>
    </row>
    <row r="178" spans="1:14" ht="15.75" customHeight="1">
      <c r="A178" s="2" t="s">
        <v>66</v>
      </c>
      <c r="B178" s="3">
        <v>45658</v>
      </c>
      <c r="C178" s="2" t="s">
        <v>27</v>
      </c>
      <c r="D178" s="2" t="s">
        <v>21</v>
      </c>
      <c r="E178" s="2">
        <v>67494.09</v>
      </c>
      <c r="F178" s="2">
        <v>12361</v>
      </c>
      <c r="G178" s="2">
        <v>4.5999999999999999E-2</v>
      </c>
      <c r="H178" s="2">
        <v>24</v>
      </c>
      <c r="I178" s="2">
        <v>76.599999999999994</v>
      </c>
      <c r="J178" s="2">
        <v>3.65</v>
      </c>
      <c r="K178" s="2">
        <v>1</v>
      </c>
      <c r="L178" s="2">
        <v>3.7</v>
      </c>
      <c r="M178" s="2">
        <v>887537.75</v>
      </c>
      <c r="N178" s="2">
        <v>160362.92000000001</v>
      </c>
    </row>
    <row r="179" spans="1:14" ht="15.75" customHeight="1">
      <c r="A179" s="2" t="s">
        <v>66</v>
      </c>
      <c r="B179" s="3">
        <v>45689</v>
      </c>
      <c r="C179" s="2" t="s">
        <v>27</v>
      </c>
      <c r="D179" s="2" t="s">
        <v>21</v>
      </c>
      <c r="E179" s="2">
        <v>29389.32</v>
      </c>
      <c r="F179" s="2">
        <v>7925</v>
      </c>
      <c r="G179" s="2">
        <v>0.17699999999999999</v>
      </c>
      <c r="H179" s="2">
        <v>21</v>
      </c>
      <c r="I179" s="2">
        <v>90.9</v>
      </c>
      <c r="J179" s="2">
        <v>7.86</v>
      </c>
      <c r="K179" s="2">
        <v>0</v>
      </c>
      <c r="L179" s="2">
        <v>4</v>
      </c>
      <c r="M179" s="2">
        <v>783582</v>
      </c>
      <c r="N179" s="2">
        <v>130670.93</v>
      </c>
    </row>
    <row r="180" spans="1:14" ht="15.75" customHeight="1">
      <c r="A180" s="2" t="s">
        <v>66</v>
      </c>
      <c r="B180" s="3">
        <v>45717</v>
      </c>
      <c r="C180" s="2" t="s">
        <v>27</v>
      </c>
      <c r="D180" s="2" t="s">
        <v>21</v>
      </c>
      <c r="E180" s="2">
        <v>40535.089999999997</v>
      </c>
      <c r="F180" s="2">
        <v>8870</v>
      </c>
      <c r="G180" s="2">
        <v>4.1000000000000002E-2</v>
      </c>
      <c r="H180" s="2">
        <v>21</v>
      </c>
      <c r="I180" s="2">
        <v>86.6</v>
      </c>
      <c r="J180" s="2">
        <v>0.3</v>
      </c>
      <c r="K180" s="2">
        <v>0</v>
      </c>
      <c r="L180" s="2">
        <v>4.0999999999999996</v>
      </c>
      <c r="M180" s="2">
        <v>781955.52</v>
      </c>
      <c r="N180" s="2">
        <v>152578.71</v>
      </c>
    </row>
    <row r="181" spans="1:14" ht="15.75" customHeight="1">
      <c r="A181" s="2" t="s">
        <v>66</v>
      </c>
      <c r="B181" s="3">
        <v>45748</v>
      </c>
      <c r="C181" s="2" t="s">
        <v>27</v>
      </c>
      <c r="D181" s="2" t="s">
        <v>21</v>
      </c>
      <c r="E181" s="2">
        <v>74881.56</v>
      </c>
      <c r="F181" s="2">
        <v>9999</v>
      </c>
      <c r="G181" s="2">
        <v>1.2999999999999999E-2</v>
      </c>
      <c r="H181" s="2">
        <v>20</v>
      </c>
      <c r="I181" s="2">
        <v>89.6</v>
      </c>
      <c r="J181" s="2">
        <v>8.44</v>
      </c>
      <c r="K181" s="2">
        <v>0</v>
      </c>
      <c r="L181" s="2">
        <v>4.0999999999999996</v>
      </c>
      <c r="M181" s="2">
        <v>898031.04</v>
      </c>
      <c r="N181" s="2">
        <v>138666.5</v>
      </c>
    </row>
    <row r="182" spans="1:14" ht="15.75" customHeight="1">
      <c r="A182" s="2" t="s">
        <v>67</v>
      </c>
      <c r="B182" s="3">
        <v>45658</v>
      </c>
      <c r="C182" s="2" t="s">
        <v>27</v>
      </c>
      <c r="D182" s="2" t="s">
        <v>16</v>
      </c>
      <c r="E182" s="2">
        <v>68491.11</v>
      </c>
      <c r="F182" s="2">
        <v>11154</v>
      </c>
      <c r="G182" s="2">
        <v>1E-3</v>
      </c>
      <c r="H182" s="2">
        <v>24</v>
      </c>
      <c r="I182" s="2">
        <v>89.4</v>
      </c>
      <c r="J182" s="2">
        <v>5.27</v>
      </c>
      <c r="K182" s="2">
        <v>1</v>
      </c>
      <c r="L182" s="2">
        <v>3.9</v>
      </c>
      <c r="M182" s="2">
        <v>855341.28</v>
      </c>
      <c r="N182" s="2">
        <v>175823.8</v>
      </c>
    </row>
    <row r="183" spans="1:14" ht="15.75" customHeight="1">
      <c r="A183" s="2" t="s">
        <v>67</v>
      </c>
      <c r="B183" s="3">
        <v>45689</v>
      </c>
      <c r="C183" s="2" t="s">
        <v>27</v>
      </c>
      <c r="D183" s="2" t="s">
        <v>16</v>
      </c>
      <c r="E183" s="2">
        <v>45209.25</v>
      </c>
      <c r="F183" s="2">
        <v>9287</v>
      </c>
      <c r="G183" s="2">
        <v>0.14099999999999999</v>
      </c>
      <c r="H183" s="2">
        <v>22</v>
      </c>
      <c r="I183" s="2">
        <v>86.4</v>
      </c>
      <c r="J183" s="2">
        <v>13.22</v>
      </c>
      <c r="K183" s="2">
        <v>0</v>
      </c>
      <c r="L183" s="2">
        <v>3.6</v>
      </c>
      <c r="M183" s="2">
        <v>751393.88</v>
      </c>
      <c r="N183" s="2">
        <v>91480.320000000007</v>
      </c>
    </row>
    <row r="184" spans="1:14" ht="15.75" customHeight="1">
      <c r="A184" s="2" t="s">
        <v>67</v>
      </c>
      <c r="B184" s="3">
        <v>45717</v>
      </c>
      <c r="C184" s="2" t="s">
        <v>27</v>
      </c>
      <c r="D184" s="2" t="s">
        <v>16</v>
      </c>
      <c r="E184" s="2">
        <v>63010.23</v>
      </c>
      <c r="F184" s="2">
        <v>9812</v>
      </c>
      <c r="G184" s="2">
        <v>0.113</v>
      </c>
      <c r="H184" s="2">
        <v>24</v>
      </c>
      <c r="I184" s="2">
        <v>76.8</v>
      </c>
      <c r="J184" s="2">
        <v>1.02</v>
      </c>
      <c r="K184" s="2">
        <v>1</v>
      </c>
      <c r="L184" s="2">
        <v>3.8</v>
      </c>
      <c r="M184" s="2">
        <v>761077.08</v>
      </c>
      <c r="N184" s="2">
        <v>113605.93</v>
      </c>
    </row>
    <row r="185" spans="1:14" ht="15.75" customHeight="1">
      <c r="A185" s="2" t="s">
        <v>67</v>
      </c>
      <c r="B185" s="3">
        <v>45748</v>
      </c>
      <c r="C185" s="2" t="s">
        <v>27</v>
      </c>
      <c r="D185" s="2" t="s">
        <v>16</v>
      </c>
      <c r="E185" s="2">
        <v>57948.88</v>
      </c>
      <c r="F185" s="2">
        <v>10741</v>
      </c>
      <c r="G185" s="2">
        <v>7.0000000000000007E-2</v>
      </c>
      <c r="H185" s="2">
        <v>25</v>
      </c>
      <c r="I185" s="2">
        <v>90.1</v>
      </c>
      <c r="J185" s="2">
        <v>4.03</v>
      </c>
      <c r="K185" s="2">
        <v>0</v>
      </c>
      <c r="L185" s="2">
        <v>3.1</v>
      </c>
      <c r="M185" s="2">
        <v>819660.59</v>
      </c>
      <c r="N185" s="2">
        <v>172699.95</v>
      </c>
    </row>
    <row r="186" spans="1:14" ht="15.75" customHeight="1">
      <c r="A186" s="2" t="s">
        <v>68</v>
      </c>
      <c r="B186" s="3">
        <v>45658</v>
      </c>
      <c r="C186" s="2" t="s">
        <v>20</v>
      </c>
      <c r="D186" s="2" t="s">
        <v>18</v>
      </c>
      <c r="E186" s="2">
        <v>71941.62</v>
      </c>
      <c r="F186" s="2">
        <v>6084</v>
      </c>
      <c r="G186" s="2">
        <v>7.1999999999999995E-2</v>
      </c>
      <c r="H186" s="2">
        <v>13</v>
      </c>
      <c r="I186" s="2">
        <v>93.7</v>
      </c>
      <c r="J186" s="2">
        <v>2.34</v>
      </c>
      <c r="K186" s="2">
        <v>0</v>
      </c>
      <c r="L186" s="2">
        <v>4.4000000000000004</v>
      </c>
      <c r="M186" s="2">
        <v>681855.56</v>
      </c>
      <c r="N186" s="2">
        <v>117645.61</v>
      </c>
    </row>
    <row r="187" spans="1:14" ht="15.75" customHeight="1">
      <c r="A187" s="2" t="s">
        <v>68</v>
      </c>
      <c r="B187" s="3">
        <v>45689</v>
      </c>
      <c r="C187" s="2" t="s">
        <v>20</v>
      </c>
      <c r="D187" s="2" t="s">
        <v>18</v>
      </c>
      <c r="E187" s="2">
        <v>57147.88</v>
      </c>
      <c r="F187" s="2">
        <v>5252</v>
      </c>
      <c r="G187" s="2">
        <v>0.161</v>
      </c>
      <c r="H187" s="2">
        <v>15</v>
      </c>
      <c r="I187" s="2">
        <v>95.5</v>
      </c>
      <c r="J187" s="2">
        <v>8.51</v>
      </c>
      <c r="K187" s="2">
        <v>0</v>
      </c>
      <c r="L187" s="2">
        <v>4.4000000000000004</v>
      </c>
      <c r="M187" s="2">
        <v>678311.17</v>
      </c>
      <c r="N187" s="2">
        <v>132029.76000000001</v>
      </c>
    </row>
    <row r="188" spans="1:14" ht="15.75" customHeight="1">
      <c r="A188" s="2" t="s">
        <v>68</v>
      </c>
      <c r="B188" s="3">
        <v>45717</v>
      </c>
      <c r="C188" s="2" t="s">
        <v>20</v>
      </c>
      <c r="D188" s="2" t="s">
        <v>18</v>
      </c>
      <c r="E188" s="2">
        <v>48031.74</v>
      </c>
      <c r="F188" s="2">
        <v>6516</v>
      </c>
      <c r="G188" s="2">
        <v>6.7000000000000004E-2</v>
      </c>
      <c r="H188" s="2">
        <v>14</v>
      </c>
      <c r="I188" s="2">
        <v>99</v>
      </c>
      <c r="J188" s="2">
        <v>0.48</v>
      </c>
      <c r="K188" s="2">
        <v>1</v>
      </c>
      <c r="L188" s="2">
        <v>4.3</v>
      </c>
      <c r="M188" s="2">
        <v>765906.95</v>
      </c>
      <c r="N188" s="2">
        <v>114005.9</v>
      </c>
    </row>
    <row r="189" spans="1:14" ht="15.75" customHeight="1">
      <c r="A189" s="2" t="s">
        <v>68</v>
      </c>
      <c r="B189" s="3">
        <v>45748</v>
      </c>
      <c r="C189" s="2" t="s">
        <v>20</v>
      </c>
      <c r="D189" s="2" t="s">
        <v>18</v>
      </c>
      <c r="E189" s="2">
        <v>72784.800000000003</v>
      </c>
      <c r="F189" s="2">
        <v>7932</v>
      </c>
      <c r="G189" s="2">
        <v>9.4E-2</v>
      </c>
      <c r="H189" s="2">
        <v>20</v>
      </c>
      <c r="I189" s="2">
        <v>74.900000000000006</v>
      </c>
      <c r="J189" s="2">
        <v>13.62</v>
      </c>
      <c r="K189" s="2">
        <v>0</v>
      </c>
      <c r="L189" s="2">
        <v>4.2</v>
      </c>
      <c r="M189" s="2">
        <v>712546.38</v>
      </c>
      <c r="N189" s="2">
        <v>101480.04</v>
      </c>
    </row>
    <row r="190" spans="1:14" ht="15.75" customHeight="1">
      <c r="A190" s="2" t="s">
        <v>69</v>
      </c>
      <c r="B190" s="3">
        <v>45658</v>
      </c>
      <c r="C190" s="2" t="s">
        <v>15</v>
      </c>
      <c r="D190" s="2" t="s">
        <v>18</v>
      </c>
      <c r="E190" s="2">
        <v>71641.899999999994</v>
      </c>
      <c r="F190" s="2">
        <v>3506</v>
      </c>
      <c r="G190" s="2">
        <v>0</v>
      </c>
      <c r="H190" s="2">
        <v>11</v>
      </c>
      <c r="I190" s="2">
        <v>86.4</v>
      </c>
      <c r="J190" s="2">
        <v>7.77</v>
      </c>
      <c r="K190" s="2">
        <v>0</v>
      </c>
      <c r="L190" s="2">
        <v>4.0999999999999996</v>
      </c>
      <c r="M190" s="2">
        <v>625993.82999999996</v>
      </c>
      <c r="N190" s="2">
        <v>98960.320000000007</v>
      </c>
    </row>
    <row r="191" spans="1:14" ht="15.75" customHeight="1">
      <c r="A191" s="2" t="s">
        <v>69</v>
      </c>
      <c r="B191" s="3">
        <v>45689</v>
      </c>
      <c r="C191" s="2" t="s">
        <v>15</v>
      </c>
      <c r="D191" s="2" t="s">
        <v>18</v>
      </c>
      <c r="E191" s="2">
        <v>55788.61</v>
      </c>
      <c r="F191" s="2">
        <v>2312</v>
      </c>
      <c r="G191" s="2">
        <v>5.8000000000000003E-2</v>
      </c>
      <c r="H191" s="2">
        <v>10</v>
      </c>
      <c r="I191" s="2">
        <v>91.3</v>
      </c>
      <c r="J191" s="2">
        <v>1.99</v>
      </c>
      <c r="K191" s="2">
        <v>0</v>
      </c>
      <c r="L191" s="2">
        <v>3.8</v>
      </c>
      <c r="M191" s="2">
        <v>550962.93000000005</v>
      </c>
      <c r="N191" s="2">
        <v>97144.58</v>
      </c>
    </row>
    <row r="192" spans="1:14" ht="15.75" customHeight="1">
      <c r="A192" s="2" t="s">
        <v>69</v>
      </c>
      <c r="B192" s="3">
        <v>45717</v>
      </c>
      <c r="C192" s="2" t="s">
        <v>15</v>
      </c>
      <c r="D192" s="2" t="s">
        <v>18</v>
      </c>
      <c r="E192" s="2">
        <v>37705.879999999997</v>
      </c>
      <c r="F192" s="2">
        <v>1268</v>
      </c>
      <c r="G192" s="2">
        <v>0.25900000000000001</v>
      </c>
      <c r="H192" s="2">
        <v>9</v>
      </c>
      <c r="I192" s="2">
        <v>84.1</v>
      </c>
      <c r="J192" s="2">
        <v>4.7699999999999996</v>
      </c>
      <c r="K192" s="2">
        <v>0</v>
      </c>
      <c r="L192" s="2">
        <v>3.8</v>
      </c>
      <c r="M192" s="2">
        <v>443275.59</v>
      </c>
      <c r="N192" s="2">
        <v>53544.36</v>
      </c>
    </row>
    <row r="193" spans="1:14" ht="15.75" customHeight="1">
      <c r="A193" s="2" t="s">
        <v>69</v>
      </c>
      <c r="B193" s="3">
        <v>45748</v>
      </c>
      <c r="C193" s="2" t="s">
        <v>15</v>
      </c>
      <c r="D193" s="2" t="s">
        <v>18</v>
      </c>
      <c r="E193" s="2">
        <v>54966.18</v>
      </c>
      <c r="F193" s="2">
        <v>4423</v>
      </c>
      <c r="G193" s="2">
        <v>0.186</v>
      </c>
      <c r="H193" s="2">
        <v>13</v>
      </c>
      <c r="I193" s="2">
        <v>88.7</v>
      </c>
      <c r="J193" s="2">
        <v>0.2</v>
      </c>
      <c r="K193" s="2">
        <v>0</v>
      </c>
      <c r="L193" s="2">
        <v>4.4000000000000004</v>
      </c>
      <c r="M193" s="2">
        <v>554012.06999999995</v>
      </c>
      <c r="N193" s="2">
        <v>81101.62</v>
      </c>
    </row>
    <row r="194" spans="1:14" ht="15.75" customHeight="1">
      <c r="A194" s="2" t="s">
        <v>70</v>
      </c>
      <c r="B194" s="3">
        <v>45658</v>
      </c>
      <c r="C194" s="2" t="s">
        <v>27</v>
      </c>
      <c r="D194" s="2" t="s">
        <v>16</v>
      </c>
      <c r="E194" s="2">
        <v>81796.740000000005</v>
      </c>
      <c r="F194" s="2">
        <v>6177</v>
      </c>
      <c r="G194" s="2">
        <v>0.16400000000000001</v>
      </c>
      <c r="H194" s="2">
        <v>14</v>
      </c>
      <c r="I194" s="2">
        <v>87.9</v>
      </c>
      <c r="J194" s="2">
        <v>0.53</v>
      </c>
      <c r="K194" s="2">
        <v>0</v>
      </c>
      <c r="L194" s="2">
        <v>3.2</v>
      </c>
      <c r="M194" s="2">
        <v>643428.85</v>
      </c>
      <c r="N194" s="2">
        <v>94477.63</v>
      </c>
    </row>
    <row r="195" spans="1:14" ht="15.75" customHeight="1">
      <c r="A195" s="2" t="s">
        <v>70</v>
      </c>
      <c r="B195" s="3">
        <v>45689</v>
      </c>
      <c r="C195" s="2" t="s">
        <v>27</v>
      </c>
      <c r="D195" s="2" t="s">
        <v>16</v>
      </c>
      <c r="E195" s="2">
        <v>51133.43</v>
      </c>
      <c r="F195" s="2">
        <v>5150</v>
      </c>
      <c r="G195" s="2">
        <v>0.15</v>
      </c>
      <c r="H195" s="2">
        <v>12</v>
      </c>
      <c r="I195" s="2">
        <v>88.5</v>
      </c>
      <c r="J195" s="2">
        <v>1.54</v>
      </c>
      <c r="K195" s="2">
        <v>0</v>
      </c>
      <c r="L195" s="2">
        <v>3.2</v>
      </c>
      <c r="M195" s="2">
        <v>611924.27</v>
      </c>
      <c r="N195" s="2">
        <v>115488.75</v>
      </c>
    </row>
    <row r="196" spans="1:14" ht="15.75" customHeight="1">
      <c r="A196" s="2" t="s">
        <v>70</v>
      </c>
      <c r="B196" s="3">
        <v>45717</v>
      </c>
      <c r="C196" s="2" t="s">
        <v>27</v>
      </c>
      <c r="D196" s="2" t="s">
        <v>16</v>
      </c>
      <c r="E196" s="2">
        <v>40220.18</v>
      </c>
      <c r="F196" s="2">
        <v>3783</v>
      </c>
      <c r="G196" s="2">
        <v>8.8999999999999996E-2</v>
      </c>
      <c r="H196" s="2">
        <v>14</v>
      </c>
      <c r="I196" s="2">
        <v>86.6</v>
      </c>
      <c r="J196" s="2">
        <v>3.63</v>
      </c>
      <c r="K196" s="2">
        <v>0</v>
      </c>
      <c r="L196" s="2">
        <v>3.7</v>
      </c>
      <c r="M196" s="2">
        <v>559422.02</v>
      </c>
      <c r="N196" s="2">
        <v>73528.740000000005</v>
      </c>
    </row>
    <row r="197" spans="1:14" ht="15.75" customHeight="1">
      <c r="A197" s="2" t="s">
        <v>70</v>
      </c>
      <c r="B197" s="3">
        <v>45748</v>
      </c>
      <c r="C197" s="2" t="s">
        <v>27</v>
      </c>
      <c r="D197" s="2" t="s">
        <v>16</v>
      </c>
      <c r="E197" s="2">
        <v>41657.64</v>
      </c>
      <c r="F197" s="2">
        <v>3135</v>
      </c>
      <c r="G197" s="2">
        <v>0.22900000000000001</v>
      </c>
      <c r="H197" s="2">
        <v>7</v>
      </c>
      <c r="I197" s="2">
        <v>85.4</v>
      </c>
      <c r="J197" s="2">
        <v>13.48</v>
      </c>
      <c r="K197" s="2">
        <v>0</v>
      </c>
      <c r="L197" s="2"/>
      <c r="M197" s="2">
        <v>449465.06</v>
      </c>
      <c r="N197" s="2">
        <v>65694.78</v>
      </c>
    </row>
    <row r="198" spans="1:14" ht="15.75" customHeight="1">
      <c r="A198" s="2" t="s">
        <v>71</v>
      </c>
      <c r="B198" s="3">
        <v>45658</v>
      </c>
      <c r="C198" s="2" t="s">
        <v>20</v>
      </c>
      <c r="D198" s="2" t="s">
        <v>16</v>
      </c>
      <c r="E198" s="2">
        <v>71851.45</v>
      </c>
      <c r="F198" s="2">
        <v>4970</v>
      </c>
      <c r="G198" s="2">
        <v>9.8000000000000004E-2</v>
      </c>
      <c r="H198" s="2">
        <v>11</v>
      </c>
      <c r="I198" s="2">
        <v>89.6</v>
      </c>
      <c r="J198" s="2">
        <v>0.2</v>
      </c>
      <c r="K198" s="2">
        <v>0</v>
      </c>
      <c r="L198" s="2">
        <v>4.2</v>
      </c>
      <c r="M198" s="2">
        <v>691447.43</v>
      </c>
      <c r="N198" s="2">
        <v>114077.69</v>
      </c>
    </row>
    <row r="199" spans="1:14" ht="15.75" customHeight="1">
      <c r="A199" s="2" t="s">
        <v>71</v>
      </c>
      <c r="B199" s="3">
        <v>45689</v>
      </c>
      <c r="C199" s="2" t="s">
        <v>20</v>
      </c>
      <c r="D199" s="2" t="s">
        <v>16</v>
      </c>
      <c r="E199" s="2">
        <v>54002.83</v>
      </c>
      <c r="F199" s="2">
        <v>4366</v>
      </c>
      <c r="G199" s="2">
        <v>2.7E-2</v>
      </c>
      <c r="H199" s="2">
        <v>15</v>
      </c>
      <c r="I199" s="2">
        <v>90.6</v>
      </c>
      <c r="J199" s="2">
        <v>12.82</v>
      </c>
      <c r="K199" s="2">
        <v>0</v>
      </c>
      <c r="L199" s="2">
        <v>4.5999999999999996</v>
      </c>
      <c r="M199" s="2">
        <v>574066.61</v>
      </c>
      <c r="N199" s="2">
        <v>124674.67</v>
      </c>
    </row>
    <row r="200" spans="1:14" ht="15.75" customHeight="1">
      <c r="A200" s="2" t="s">
        <v>71</v>
      </c>
      <c r="B200" s="3">
        <v>45717</v>
      </c>
      <c r="C200" s="2" t="s">
        <v>20</v>
      </c>
      <c r="D200" s="2" t="s">
        <v>16</v>
      </c>
      <c r="E200" s="2">
        <v>54479.33</v>
      </c>
      <c r="F200" s="2">
        <v>5012</v>
      </c>
      <c r="G200" s="2">
        <v>0.28399999999999997</v>
      </c>
      <c r="H200" s="2">
        <v>13</v>
      </c>
      <c r="I200" s="2">
        <v>86</v>
      </c>
      <c r="J200" s="2">
        <v>2.2400000000000002</v>
      </c>
      <c r="K200" s="2">
        <v>1</v>
      </c>
      <c r="L200" s="2">
        <v>4.3</v>
      </c>
      <c r="M200" s="2">
        <v>578949.84</v>
      </c>
      <c r="N200" s="2">
        <v>80253.649999999994</v>
      </c>
    </row>
    <row r="201" spans="1:14" ht="15.75" customHeight="1">
      <c r="A201" s="2" t="s">
        <v>71</v>
      </c>
      <c r="B201" s="3">
        <v>45748</v>
      </c>
      <c r="C201" s="2" t="s">
        <v>20</v>
      </c>
      <c r="D201" s="2" t="s">
        <v>16</v>
      </c>
      <c r="E201" s="2">
        <v>61391.8</v>
      </c>
      <c r="F201" s="2">
        <v>5575</v>
      </c>
      <c r="G201" s="2">
        <v>0.189</v>
      </c>
      <c r="H201" s="2">
        <v>18</v>
      </c>
      <c r="I201" s="2">
        <v>90</v>
      </c>
      <c r="J201" s="2">
        <v>1.8</v>
      </c>
      <c r="K201" s="2">
        <v>0</v>
      </c>
      <c r="L201" s="2">
        <v>4.8</v>
      </c>
      <c r="M201" s="2">
        <v>735786.64</v>
      </c>
      <c r="N201" s="2">
        <v>126540.66</v>
      </c>
    </row>
    <row r="202" spans="1:14" ht="15.75" customHeight="1">
      <c r="A202" s="2" t="s">
        <v>72</v>
      </c>
      <c r="B202" s="3">
        <v>45658</v>
      </c>
      <c r="C202" s="2" t="s">
        <v>15</v>
      </c>
      <c r="D202" s="2" t="s">
        <v>21</v>
      </c>
      <c r="E202" s="2">
        <v>22312.93</v>
      </c>
      <c r="F202" s="2">
        <v>5955</v>
      </c>
      <c r="G202" s="2">
        <v>0.123</v>
      </c>
      <c r="H202" s="2">
        <v>13</v>
      </c>
      <c r="I202" s="2">
        <v>84.2</v>
      </c>
      <c r="J202" s="2">
        <v>0.41</v>
      </c>
      <c r="K202" s="2">
        <v>1</v>
      </c>
      <c r="L202" s="2">
        <v>4.5999999999999996</v>
      </c>
      <c r="M202" s="2">
        <v>598904.9</v>
      </c>
      <c r="N202" s="2">
        <v>72861</v>
      </c>
    </row>
    <row r="203" spans="1:14" ht="15.75" customHeight="1">
      <c r="A203" s="2" t="s">
        <v>72</v>
      </c>
      <c r="B203" s="3">
        <v>45689</v>
      </c>
      <c r="C203" s="2" t="s">
        <v>15</v>
      </c>
      <c r="D203" s="2" t="s">
        <v>21</v>
      </c>
      <c r="E203" s="2">
        <v>78111.97</v>
      </c>
      <c r="F203" s="2">
        <v>6389</v>
      </c>
      <c r="G203" s="2">
        <v>0.15</v>
      </c>
      <c r="H203" s="2">
        <v>13</v>
      </c>
      <c r="I203" s="2">
        <v>83.9</v>
      </c>
      <c r="J203" s="2">
        <v>3.05</v>
      </c>
      <c r="K203" s="2">
        <v>0</v>
      </c>
      <c r="L203" s="2">
        <v>4.8</v>
      </c>
      <c r="M203" s="2">
        <v>787715.51</v>
      </c>
      <c r="N203" s="2">
        <v>128969.62</v>
      </c>
    </row>
    <row r="204" spans="1:14" ht="15.75" customHeight="1">
      <c r="A204" s="2" t="s">
        <v>72</v>
      </c>
      <c r="B204" s="3">
        <v>45717</v>
      </c>
      <c r="C204" s="2" t="s">
        <v>15</v>
      </c>
      <c r="D204" s="2" t="s">
        <v>21</v>
      </c>
      <c r="E204" s="2">
        <v>35203.230000000003</v>
      </c>
      <c r="F204" s="2">
        <v>6896</v>
      </c>
      <c r="G204" s="2">
        <v>3.2000000000000001E-2</v>
      </c>
      <c r="H204" s="2">
        <v>14</v>
      </c>
      <c r="I204" s="2">
        <v>80.8</v>
      </c>
      <c r="J204" s="2">
        <v>8.44</v>
      </c>
      <c r="K204" s="2">
        <v>1</v>
      </c>
      <c r="L204" s="2">
        <v>5</v>
      </c>
      <c r="M204" s="2">
        <v>607084.92000000004</v>
      </c>
      <c r="N204" s="2">
        <v>98558.49</v>
      </c>
    </row>
    <row r="205" spans="1:14" ht="15.75" customHeight="1">
      <c r="A205" s="2" t="s">
        <v>72</v>
      </c>
      <c r="B205" s="3">
        <v>45748</v>
      </c>
      <c r="C205" s="2" t="s">
        <v>15</v>
      </c>
      <c r="D205" s="2" t="s">
        <v>21</v>
      </c>
      <c r="E205" s="2">
        <v>64104.28</v>
      </c>
      <c r="F205" s="2">
        <v>6015</v>
      </c>
      <c r="G205" s="2">
        <v>0.127</v>
      </c>
      <c r="H205" s="2">
        <v>15</v>
      </c>
      <c r="I205" s="2">
        <v>88.7</v>
      </c>
      <c r="J205" s="2">
        <v>0.78</v>
      </c>
      <c r="K205" s="2">
        <v>0</v>
      </c>
      <c r="L205" s="2">
        <v>4</v>
      </c>
      <c r="M205" s="2">
        <v>650795.49</v>
      </c>
      <c r="N205" s="2">
        <v>103035.89</v>
      </c>
    </row>
    <row r="206" spans="1:14" ht="15.75" customHeight="1">
      <c r="A206" s="2" t="s">
        <v>73</v>
      </c>
      <c r="B206" s="3">
        <v>45658</v>
      </c>
      <c r="C206" s="2" t="s">
        <v>15</v>
      </c>
      <c r="D206" s="2" t="s">
        <v>28</v>
      </c>
      <c r="E206" s="2">
        <v>92090.14</v>
      </c>
      <c r="F206" s="2">
        <v>9476</v>
      </c>
      <c r="G206" s="2">
        <v>7.0000000000000007E-2</v>
      </c>
      <c r="H206" s="2">
        <v>24</v>
      </c>
      <c r="I206" s="2">
        <v>94.3</v>
      </c>
      <c r="J206" s="2">
        <v>0.87</v>
      </c>
      <c r="K206" s="2">
        <v>0</v>
      </c>
      <c r="L206" s="2">
        <v>3.7</v>
      </c>
      <c r="M206" s="2">
        <v>825060.52</v>
      </c>
      <c r="N206" s="2">
        <v>143613.15</v>
      </c>
    </row>
    <row r="207" spans="1:14" ht="15.75" customHeight="1">
      <c r="A207" s="2" t="s">
        <v>73</v>
      </c>
      <c r="B207" s="3">
        <v>45689</v>
      </c>
      <c r="C207" s="2" t="s">
        <v>15</v>
      </c>
      <c r="D207" s="2" t="s">
        <v>28</v>
      </c>
      <c r="E207" s="2">
        <v>54300.87</v>
      </c>
      <c r="F207" s="2">
        <v>7875</v>
      </c>
      <c r="G207" s="2">
        <v>0.107</v>
      </c>
      <c r="H207" s="2">
        <v>19</v>
      </c>
      <c r="I207" s="2">
        <v>94.1</v>
      </c>
      <c r="J207" s="2">
        <v>0.95</v>
      </c>
      <c r="K207" s="2">
        <v>0</v>
      </c>
      <c r="L207" s="2">
        <v>3.7</v>
      </c>
      <c r="M207" s="2">
        <v>795464.47</v>
      </c>
      <c r="N207" s="2">
        <v>161150.51999999999</v>
      </c>
    </row>
    <row r="208" spans="1:14" ht="15.75" customHeight="1">
      <c r="A208" s="2" t="s">
        <v>73</v>
      </c>
      <c r="B208" s="3">
        <v>45717</v>
      </c>
      <c r="C208" s="2" t="s">
        <v>15</v>
      </c>
      <c r="D208" s="2" t="s">
        <v>28</v>
      </c>
      <c r="E208" s="2">
        <v>37983.35</v>
      </c>
      <c r="F208" s="2">
        <v>9283</v>
      </c>
      <c r="G208" s="2">
        <v>0.14899999999999999</v>
      </c>
      <c r="H208" s="2">
        <v>19</v>
      </c>
      <c r="I208" s="2">
        <v>83.2</v>
      </c>
      <c r="J208" s="2">
        <v>3.82</v>
      </c>
      <c r="K208" s="2">
        <v>0</v>
      </c>
      <c r="L208" s="2">
        <v>3.7</v>
      </c>
      <c r="M208" s="2">
        <v>671868.59</v>
      </c>
      <c r="N208" s="2">
        <v>71003.28</v>
      </c>
    </row>
    <row r="209" spans="1:14" ht="15.75" customHeight="1">
      <c r="A209" s="2" t="s">
        <v>73</v>
      </c>
      <c r="B209" s="3">
        <v>45748</v>
      </c>
      <c r="C209" s="2" t="s">
        <v>15</v>
      </c>
      <c r="D209" s="2" t="s">
        <v>28</v>
      </c>
      <c r="E209" s="2">
        <v>56413.83</v>
      </c>
      <c r="F209" s="2">
        <v>8303</v>
      </c>
      <c r="G209" s="2">
        <v>0.11600000000000001</v>
      </c>
      <c r="H209" s="2">
        <v>18</v>
      </c>
      <c r="I209" s="2">
        <v>93.6</v>
      </c>
      <c r="J209" s="2">
        <v>2.7</v>
      </c>
      <c r="K209" s="2">
        <v>0</v>
      </c>
      <c r="L209" s="2">
        <v>3.7</v>
      </c>
      <c r="M209" s="2">
        <v>675917.63</v>
      </c>
      <c r="N209" s="2">
        <v>112564.75</v>
      </c>
    </row>
    <row r="210" spans="1:14" ht="15.75" customHeight="1">
      <c r="A210" s="2" t="s">
        <v>74</v>
      </c>
      <c r="B210" s="3">
        <v>45658</v>
      </c>
      <c r="C210" s="2" t="s">
        <v>15</v>
      </c>
      <c r="D210" s="2" t="s">
        <v>18</v>
      </c>
      <c r="E210" s="2">
        <v>63457.19</v>
      </c>
      <c r="F210" s="2">
        <v>10125</v>
      </c>
      <c r="G210" s="2">
        <v>9.7000000000000003E-2</v>
      </c>
      <c r="H210" s="2">
        <v>24</v>
      </c>
      <c r="I210" s="2">
        <v>87</v>
      </c>
      <c r="J210" s="2">
        <v>3.84</v>
      </c>
      <c r="K210" s="2">
        <v>1</v>
      </c>
      <c r="L210" s="2">
        <v>3.7</v>
      </c>
      <c r="M210" s="2">
        <v>810446.53</v>
      </c>
      <c r="N210" s="2">
        <v>200575.34</v>
      </c>
    </row>
    <row r="211" spans="1:14" ht="15.75" customHeight="1">
      <c r="A211" s="2" t="s">
        <v>74</v>
      </c>
      <c r="B211" s="3">
        <v>45689</v>
      </c>
      <c r="C211" s="2" t="s">
        <v>15</v>
      </c>
      <c r="D211" s="2" t="s">
        <v>18</v>
      </c>
      <c r="E211" s="2">
        <v>62949.7</v>
      </c>
      <c r="F211" s="2">
        <v>9458</v>
      </c>
      <c r="G211" s="2">
        <v>0.17100000000000001</v>
      </c>
      <c r="H211" s="2">
        <v>19</v>
      </c>
      <c r="I211" s="2">
        <v>84.9</v>
      </c>
      <c r="J211" s="2">
        <v>5.09</v>
      </c>
      <c r="K211" s="2">
        <v>0</v>
      </c>
      <c r="L211" s="2">
        <v>3.3</v>
      </c>
      <c r="M211" s="2">
        <v>691288.19</v>
      </c>
      <c r="N211" s="2">
        <v>159074.14000000001</v>
      </c>
    </row>
    <row r="212" spans="1:14" ht="15.75" customHeight="1">
      <c r="A212" s="2" t="s">
        <v>74</v>
      </c>
      <c r="B212" s="3">
        <v>45717</v>
      </c>
      <c r="C212" s="2" t="s">
        <v>15</v>
      </c>
      <c r="D212" s="2" t="s">
        <v>18</v>
      </c>
      <c r="E212" s="2">
        <v>107970.19</v>
      </c>
      <c r="F212" s="2">
        <v>12870</v>
      </c>
      <c r="G212" s="2">
        <v>2.9000000000000001E-2</v>
      </c>
      <c r="H212" s="2">
        <v>31</v>
      </c>
      <c r="I212" s="2">
        <v>91.7</v>
      </c>
      <c r="J212" s="2">
        <v>3.82</v>
      </c>
      <c r="K212" s="2">
        <v>1</v>
      </c>
      <c r="L212" s="2">
        <v>3.7</v>
      </c>
      <c r="M212" s="2">
        <v>946833.54</v>
      </c>
      <c r="N212" s="2">
        <v>184540.31</v>
      </c>
    </row>
    <row r="213" spans="1:14" ht="15.75" customHeight="1">
      <c r="A213" s="2" t="s">
        <v>74</v>
      </c>
      <c r="B213" s="3">
        <v>45748</v>
      </c>
      <c r="C213" s="2" t="s">
        <v>15</v>
      </c>
      <c r="D213" s="2" t="s">
        <v>18</v>
      </c>
      <c r="E213" s="2">
        <v>49405.75</v>
      </c>
      <c r="F213" s="2">
        <v>9752</v>
      </c>
      <c r="G213" s="2">
        <v>9.2999999999999999E-2</v>
      </c>
      <c r="H213" s="2">
        <v>21</v>
      </c>
      <c r="I213" s="2">
        <v>87</v>
      </c>
      <c r="J213" s="2">
        <v>12.28</v>
      </c>
      <c r="K213" s="2">
        <v>0</v>
      </c>
      <c r="L213" s="2">
        <v>4.0999999999999996</v>
      </c>
      <c r="M213" s="2">
        <v>761963.23</v>
      </c>
      <c r="N213" s="2">
        <v>150113.60999999999</v>
      </c>
    </row>
    <row r="214" spans="1:14" ht="15.75" customHeight="1">
      <c r="A214" s="2" t="s">
        <v>75</v>
      </c>
      <c r="B214" s="3">
        <v>45658</v>
      </c>
      <c r="C214" s="2" t="s">
        <v>27</v>
      </c>
      <c r="D214" s="2" t="s">
        <v>16</v>
      </c>
      <c r="E214" s="2">
        <v>50887.46</v>
      </c>
      <c r="F214" s="2">
        <v>9505</v>
      </c>
      <c r="G214" s="2">
        <v>9.0999999999999998E-2</v>
      </c>
      <c r="H214" s="2">
        <v>25</v>
      </c>
      <c r="I214" s="2">
        <v>89.7</v>
      </c>
      <c r="J214" s="2">
        <v>2.8</v>
      </c>
      <c r="K214" s="2">
        <v>0</v>
      </c>
      <c r="L214" s="2">
        <v>4.3</v>
      </c>
      <c r="M214" s="2">
        <v>812152.6</v>
      </c>
      <c r="N214" s="2">
        <v>138419.43</v>
      </c>
    </row>
    <row r="215" spans="1:14" ht="15.75" customHeight="1">
      <c r="A215" s="2" t="s">
        <v>75</v>
      </c>
      <c r="B215" s="3">
        <v>45689</v>
      </c>
      <c r="C215" s="2" t="s">
        <v>27</v>
      </c>
      <c r="D215" s="2" t="s">
        <v>16</v>
      </c>
      <c r="E215" s="2">
        <v>41819.449999999997</v>
      </c>
      <c r="F215" s="2">
        <v>9412</v>
      </c>
      <c r="G215" s="2">
        <v>0.15</v>
      </c>
      <c r="H215" s="2">
        <v>22</v>
      </c>
      <c r="I215" s="2">
        <v>91</v>
      </c>
      <c r="J215" s="2">
        <v>3.67</v>
      </c>
      <c r="K215" s="2">
        <v>0</v>
      </c>
      <c r="L215" s="2">
        <v>4.2</v>
      </c>
      <c r="M215" s="2">
        <v>804975.5</v>
      </c>
      <c r="N215" s="2">
        <v>140054.5</v>
      </c>
    </row>
    <row r="216" spans="1:14" ht="15.75" customHeight="1">
      <c r="A216" s="2" t="s">
        <v>75</v>
      </c>
      <c r="B216" s="3">
        <v>45717</v>
      </c>
      <c r="C216" s="2" t="s">
        <v>27</v>
      </c>
      <c r="D216" s="2" t="s">
        <v>16</v>
      </c>
      <c r="E216" s="2">
        <v>35296.54</v>
      </c>
      <c r="F216" s="2">
        <v>9644</v>
      </c>
      <c r="G216" s="2">
        <v>0</v>
      </c>
      <c r="H216" s="2">
        <v>22</v>
      </c>
      <c r="I216" s="2">
        <v>88</v>
      </c>
      <c r="J216" s="2">
        <v>2.81</v>
      </c>
      <c r="K216" s="2">
        <v>0</v>
      </c>
      <c r="L216" s="2">
        <v>4.7</v>
      </c>
      <c r="M216" s="2">
        <v>752321.72</v>
      </c>
      <c r="N216" s="2">
        <v>137788.51</v>
      </c>
    </row>
    <row r="217" spans="1:14" ht="15.75" customHeight="1">
      <c r="A217" s="2" t="s">
        <v>75</v>
      </c>
      <c r="B217" s="3">
        <v>45748</v>
      </c>
      <c r="C217" s="2" t="s">
        <v>27</v>
      </c>
      <c r="D217" s="2" t="s">
        <v>16</v>
      </c>
      <c r="E217" s="2">
        <v>47391.09</v>
      </c>
      <c r="F217" s="2">
        <v>11224</v>
      </c>
      <c r="G217" s="2">
        <v>0.14699999999999999</v>
      </c>
      <c r="H217" s="2">
        <v>25</v>
      </c>
      <c r="I217" s="2">
        <v>88.4</v>
      </c>
      <c r="J217" s="2">
        <v>2.44</v>
      </c>
      <c r="K217" s="2">
        <v>0</v>
      </c>
      <c r="L217" s="2">
        <v>4.9000000000000004</v>
      </c>
      <c r="M217" s="2">
        <v>836908.24</v>
      </c>
      <c r="N217" s="2">
        <v>141090.26</v>
      </c>
    </row>
    <row r="218" spans="1:14" ht="15.75" customHeight="1">
      <c r="A218" s="2" t="s">
        <v>76</v>
      </c>
      <c r="B218" s="3">
        <v>45658</v>
      </c>
      <c r="C218" s="2" t="s">
        <v>20</v>
      </c>
      <c r="D218" s="2" t="s">
        <v>21</v>
      </c>
      <c r="E218" s="2">
        <v>69180.539999999994</v>
      </c>
      <c r="F218" s="2">
        <v>5394</v>
      </c>
      <c r="G218" s="2">
        <v>0.126</v>
      </c>
      <c r="H218" s="2">
        <v>12</v>
      </c>
      <c r="I218" s="2">
        <v>82.9</v>
      </c>
      <c r="J218" s="2">
        <v>3.27</v>
      </c>
      <c r="K218" s="2">
        <v>0</v>
      </c>
      <c r="L218" s="2">
        <v>3.3</v>
      </c>
      <c r="M218" s="2">
        <v>674289.1</v>
      </c>
      <c r="N218" s="2">
        <v>117773.79</v>
      </c>
    </row>
    <row r="219" spans="1:14" ht="15.75" customHeight="1">
      <c r="A219" s="2" t="s">
        <v>76</v>
      </c>
      <c r="B219" s="3">
        <v>45689</v>
      </c>
      <c r="C219" s="2" t="s">
        <v>20</v>
      </c>
      <c r="D219" s="2" t="s">
        <v>21</v>
      </c>
      <c r="E219" s="2">
        <v>33987.33</v>
      </c>
      <c r="F219" s="2">
        <v>5014</v>
      </c>
      <c r="G219" s="2">
        <v>0.246</v>
      </c>
      <c r="H219" s="2">
        <v>17</v>
      </c>
      <c r="I219" s="2">
        <v>94.3</v>
      </c>
      <c r="J219" s="2">
        <v>10.34</v>
      </c>
      <c r="K219" s="2">
        <v>0</v>
      </c>
      <c r="L219" s="2">
        <v>3.9</v>
      </c>
      <c r="M219" s="2">
        <v>622892.42000000004</v>
      </c>
      <c r="N219" s="2">
        <v>101032.52</v>
      </c>
    </row>
    <row r="220" spans="1:14" ht="15.75" customHeight="1">
      <c r="A220" s="2" t="s">
        <v>76</v>
      </c>
      <c r="B220" s="3">
        <v>45717</v>
      </c>
      <c r="C220" s="2" t="s">
        <v>20</v>
      </c>
      <c r="D220" s="2" t="s">
        <v>21</v>
      </c>
      <c r="E220" s="2">
        <v>58785.33</v>
      </c>
      <c r="F220" s="2">
        <v>4467</v>
      </c>
      <c r="G220" s="2">
        <v>0.22900000000000001</v>
      </c>
      <c r="H220" s="2">
        <v>14</v>
      </c>
      <c r="I220" s="2">
        <v>90.7</v>
      </c>
      <c r="J220" s="2">
        <v>1.92</v>
      </c>
      <c r="K220" s="2">
        <v>0</v>
      </c>
      <c r="L220" s="2">
        <v>3.7</v>
      </c>
      <c r="M220" s="2">
        <v>673348.56</v>
      </c>
      <c r="N220" s="2">
        <v>69464.59</v>
      </c>
    </row>
    <row r="221" spans="1:14" ht="15.75" customHeight="1">
      <c r="A221" s="2" t="s">
        <v>76</v>
      </c>
      <c r="B221" s="3">
        <v>45748</v>
      </c>
      <c r="C221" s="2" t="s">
        <v>20</v>
      </c>
      <c r="D221" s="2" t="s">
        <v>21</v>
      </c>
      <c r="E221" s="2">
        <v>16451.849999999999</v>
      </c>
      <c r="F221" s="2">
        <v>4678</v>
      </c>
      <c r="G221" s="2">
        <v>0.13300000000000001</v>
      </c>
      <c r="H221" s="2">
        <v>11</v>
      </c>
      <c r="I221" s="2">
        <v>95.9</v>
      </c>
      <c r="J221" s="2">
        <v>3.1</v>
      </c>
      <c r="K221" s="2">
        <v>0</v>
      </c>
      <c r="L221" s="2">
        <v>3.9</v>
      </c>
      <c r="M221" s="2">
        <v>606278.30000000005</v>
      </c>
      <c r="N221" s="2">
        <v>102213.26</v>
      </c>
    </row>
    <row r="222" spans="1:14" ht="15.75" customHeight="1">
      <c r="A222" s="2" t="s">
        <v>77</v>
      </c>
      <c r="B222" s="3">
        <v>45658</v>
      </c>
      <c r="C222" s="2" t="s">
        <v>15</v>
      </c>
      <c r="D222" s="2" t="s">
        <v>18</v>
      </c>
      <c r="E222" s="2">
        <v>53367.73</v>
      </c>
      <c r="F222" s="2">
        <v>7291</v>
      </c>
      <c r="G222" s="2">
        <v>0.14599999999999999</v>
      </c>
      <c r="H222" s="2">
        <v>18</v>
      </c>
      <c r="I222" s="2">
        <v>90.6</v>
      </c>
      <c r="J222" s="2">
        <v>6.34</v>
      </c>
      <c r="K222" s="2">
        <v>1</v>
      </c>
      <c r="L222" s="2">
        <v>3.8</v>
      </c>
      <c r="M222" s="2">
        <v>712219.81</v>
      </c>
      <c r="N222" s="2">
        <v>85906.54</v>
      </c>
    </row>
    <row r="223" spans="1:14" ht="15.75" customHeight="1">
      <c r="A223" s="2" t="s">
        <v>77</v>
      </c>
      <c r="B223" s="3">
        <v>45689</v>
      </c>
      <c r="C223" s="2" t="s">
        <v>15</v>
      </c>
      <c r="D223" s="2" t="s">
        <v>18</v>
      </c>
      <c r="E223" s="2">
        <v>27194.639999999999</v>
      </c>
      <c r="F223" s="2">
        <v>7404</v>
      </c>
      <c r="G223" s="2">
        <v>8.7999999999999995E-2</v>
      </c>
      <c r="H223" s="2">
        <v>18</v>
      </c>
      <c r="I223" s="2">
        <v>90.2</v>
      </c>
      <c r="J223" s="2">
        <v>1.2</v>
      </c>
      <c r="K223" s="2">
        <v>0</v>
      </c>
      <c r="L223" s="2">
        <v>3.4</v>
      </c>
      <c r="M223" s="2">
        <v>672670.54</v>
      </c>
      <c r="N223" s="2">
        <v>132684.18</v>
      </c>
    </row>
    <row r="224" spans="1:14" ht="15.75" customHeight="1">
      <c r="A224" s="2" t="s">
        <v>77</v>
      </c>
      <c r="B224" s="3">
        <v>45717</v>
      </c>
      <c r="C224" s="2" t="s">
        <v>15</v>
      </c>
      <c r="D224" s="2" t="s">
        <v>18</v>
      </c>
      <c r="E224" s="2">
        <v>66962.740000000005</v>
      </c>
      <c r="F224" s="2">
        <v>7880</v>
      </c>
      <c r="G224" s="2">
        <v>0.11600000000000001</v>
      </c>
      <c r="H224" s="2">
        <v>19</v>
      </c>
      <c r="I224" s="2">
        <v>90.4</v>
      </c>
      <c r="J224" s="2">
        <v>4.5</v>
      </c>
      <c r="K224" s="2">
        <v>0</v>
      </c>
      <c r="L224" s="2">
        <v>3.3</v>
      </c>
      <c r="M224" s="2">
        <v>732667.92</v>
      </c>
      <c r="N224" s="2">
        <v>128654.46</v>
      </c>
    </row>
    <row r="225" spans="1:14" ht="15.75" customHeight="1">
      <c r="A225" s="2" t="s">
        <v>77</v>
      </c>
      <c r="B225" s="3">
        <v>45748</v>
      </c>
      <c r="C225" s="2" t="s">
        <v>15</v>
      </c>
      <c r="D225" s="2" t="s">
        <v>18</v>
      </c>
      <c r="E225" s="2">
        <v>73540.990000000005</v>
      </c>
      <c r="F225" s="2">
        <v>8773</v>
      </c>
      <c r="G225" s="2">
        <v>3.5000000000000003E-2</v>
      </c>
      <c r="H225" s="2">
        <v>21</v>
      </c>
      <c r="I225" s="2">
        <v>84.4</v>
      </c>
      <c r="J225" s="2">
        <v>6.68</v>
      </c>
      <c r="K225" s="2">
        <v>0</v>
      </c>
      <c r="L225" s="2">
        <v>3.6</v>
      </c>
      <c r="M225" s="2">
        <v>723531.4</v>
      </c>
      <c r="N225" s="2">
        <v>108794.85</v>
      </c>
    </row>
    <row r="226" spans="1:14" ht="15.75" customHeight="1">
      <c r="A226" s="2" t="s">
        <v>78</v>
      </c>
      <c r="B226" s="3">
        <v>45658</v>
      </c>
      <c r="C226" s="2" t="s">
        <v>15</v>
      </c>
      <c r="D226" s="2" t="s">
        <v>28</v>
      </c>
      <c r="E226" s="2">
        <v>68212.289999999994</v>
      </c>
      <c r="F226" s="2">
        <v>4713</v>
      </c>
      <c r="G226" s="2">
        <v>0.19800000000000001</v>
      </c>
      <c r="H226" s="2">
        <v>15</v>
      </c>
      <c r="I226" s="2">
        <v>82.6</v>
      </c>
      <c r="J226" s="2">
        <v>4.07</v>
      </c>
      <c r="K226" s="2">
        <v>1</v>
      </c>
      <c r="L226" s="2">
        <v>3</v>
      </c>
      <c r="M226" s="2">
        <v>641564.6</v>
      </c>
      <c r="N226" s="2">
        <v>90468.96</v>
      </c>
    </row>
    <row r="227" spans="1:14" ht="15.75" customHeight="1">
      <c r="A227" s="2" t="s">
        <v>78</v>
      </c>
      <c r="B227" s="3">
        <v>45689</v>
      </c>
      <c r="C227" s="2" t="s">
        <v>15</v>
      </c>
      <c r="D227" s="2" t="s">
        <v>28</v>
      </c>
      <c r="E227" s="2">
        <v>57225.98</v>
      </c>
      <c r="F227" s="2">
        <v>2842</v>
      </c>
      <c r="G227" s="2">
        <v>0.112</v>
      </c>
      <c r="H227" s="2">
        <v>10</v>
      </c>
      <c r="I227" s="2">
        <v>79.5</v>
      </c>
      <c r="J227" s="2">
        <v>5.45</v>
      </c>
      <c r="K227" s="2">
        <v>0</v>
      </c>
      <c r="L227" s="2">
        <v>3.4</v>
      </c>
      <c r="M227" s="2">
        <v>536545.49</v>
      </c>
      <c r="N227" s="2">
        <v>97917.45</v>
      </c>
    </row>
    <row r="228" spans="1:14" ht="15.75" customHeight="1">
      <c r="A228" s="2" t="s">
        <v>78</v>
      </c>
      <c r="B228" s="3">
        <v>45717</v>
      </c>
      <c r="C228" s="2" t="s">
        <v>15</v>
      </c>
      <c r="D228" s="2" t="s">
        <v>28</v>
      </c>
      <c r="E228" s="2">
        <v>42932.02</v>
      </c>
      <c r="F228" s="2">
        <v>3872</v>
      </c>
      <c r="G228" s="2">
        <v>0.17100000000000001</v>
      </c>
      <c r="H228" s="2">
        <v>12</v>
      </c>
      <c r="I228" s="2">
        <v>83.2</v>
      </c>
      <c r="J228" s="2">
        <v>15.58</v>
      </c>
      <c r="K228" s="2">
        <v>0</v>
      </c>
      <c r="L228" s="2">
        <v>3.3</v>
      </c>
      <c r="M228" s="2">
        <v>527681.56000000006</v>
      </c>
      <c r="N228" s="2">
        <v>63153.05</v>
      </c>
    </row>
    <row r="229" spans="1:14" ht="15.75" customHeight="1">
      <c r="A229" s="2" t="s">
        <v>78</v>
      </c>
      <c r="B229" s="3">
        <v>45748</v>
      </c>
      <c r="C229" s="2" t="s">
        <v>15</v>
      </c>
      <c r="D229" s="2" t="s">
        <v>28</v>
      </c>
      <c r="E229" s="2">
        <v>39341.449999999997</v>
      </c>
      <c r="F229" s="2">
        <v>1375</v>
      </c>
      <c r="G229" s="2">
        <v>9.2999999999999999E-2</v>
      </c>
      <c r="H229" s="2">
        <v>5</v>
      </c>
      <c r="I229" s="2">
        <v>95</v>
      </c>
      <c r="J229" s="2">
        <v>5.32</v>
      </c>
      <c r="K229" s="2">
        <v>0</v>
      </c>
      <c r="L229" s="2"/>
      <c r="M229" s="2">
        <v>529598.93999999994</v>
      </c>
      <c r="N229" s="2">
        <v>84334.33</v>
      </c>
    </row>
    <row r="230" spans="1:14" ht="15.75" customHeight="1">
      <c r="A230" s="2" t="s">
        <v>79</v>
      </c>
      <c r="B230" s="3">
        <v>45658</v>
      </c>
      <c r="C230" s="2" t="s">
        <v>15</v>
      </c>
      <c r="D230" s="2" t="s">
        <v>18</v>
      </c>
      <c r="E230" s="2">
        <v>37324.230000000003</v>
      </c>
      <c r="F230" s="2">
        <v>5957</v>
      </c>
      <c r="G230" s="2">
        <v>7.0999999999999994E-2</v>
      </c>
      <c r="H230" s="2">
        <v>12</v>
      </c>
      <c r="I230" s="2">
        <v>85.9</v>
      </c>
      <c r="J230" s="2">
        <v>0.37</v>
      </c>
      <c r="K230" s="2">
        <v>0</v>
      </c>
      <c r="L230" s="2">
        <v>3.8</v>
      </c>
      <c r="M230" s="2">
        <v>570963.31000000006</v>
      </c>
      <c r="N230" s="2">
        <v>87342.25</v>
      </c>
    </row>
    <row r="231" spans="1:14" ht="15.75" customHeight="1">
      <c r="A231" s="2" t="s">
        <v>79</v>
      </c>
      <c r="B231" s="3">
        <v>45689</v>
      </c>
      <c r="C231" s="2" t="s">
        <v>15</v>
      </c>
      <c r="D231" s="2" t="s">
        <v>18</v>
      </c>
      <c r="E231" s="2">
        <v>113736</v>
      </c>
      <c r="F231" s="2">
        <v>8961</v>
      </c>
      <c r="G231" s="2">
        <v>0.20200000000000001</v>
      </c>
      <c r="H231" s="2">
        <v>24</v>
      </c>
      <c r="I231" s="2">
        <v>86.2</v>
      </c>
      <c r="J231" s="2">
        <v>21.63</v>
      </c>
      <c r="K231" s="2">
        <v>0</v>
      </c>
      <c r="L231" s="2">
        <v>4</v>
      </c>
      <c r="M231" s="2">
        <v>870937.4</v>
      </c>
      <c r="N231" s="2">
        <v>175282.74</v>
      </c>
    </row>
    <row r="232" spans="1:14" ht="15.75" customHeight="1">
      <c r="A232" s="2" t="s">
        <v>79</v>
      </c>
      <c r="B232" s="3">
        <v>45717</v>
      </c>
      <c r="C232" s="2" t="s">
        <v>15</v>
      </c>
      <c r="D232" s="2" t="s">
        <v>18</v>
      </c>
      <c r="E232" s="2">
        <v>33173.949999999997</v>
      </c>
      <c r="F232" s="2">
        <v>6545</v>
      </c>
      <c r="G232" s="2">
        <v>0.16900000000000001</v>
      </c>
      <c r="H232" s="2">
        <v>15</v>
      </c>
      <c r="I232" s="2">
        <v>84.4</v>
      </c>
      <c r="J232" s="2">
        <v>2.48</v>
      </c>
      <c r="K232" s="2">
        <v>0</v>
      </c>
      <c r="L232" s="2">
        <v>3.9</v>
      </c>
      <c r="M232" s="2">
        <v>596969.27</v>
      </c>
      <c r="N232" s="2">
        <v>105669.51</v>
      </c>
    </row>
    <row r="233" spans="1:14" ht="15.75" customHeight="1">
      <c r="A233" s="2" t="s">
        <v>79</v>
      </c>
      <c r="B233" s="3">
        <v>45748</v>
      </c>
      <c r="C233" s="2" t="s">
        <v>15</v>
      </c>
      <c r="D233" s="2" t="s">
        <v>18</v>
      </c>
      <c r="E233" s="2">
        <v>25818.080000000002</v>
      </c>
      <c r="F233" s="2">
        <v>5457</v>
      </c>
      <c r="G233" s="2">
        <v>0</v>
      </c>
      <c r="H233" s="2">
        <v>11</v>
      </c>
      <c r="I233" s="2">
        <v>95.4</v>
      </c>
      <c r="J233" s="2"/>
      <c r="K233" s="2">
        <v>0</v>
      </c>
      <c r="L233" s="2">
        <v>3.7</v>
      </c>
      <c r="M233" s="2">
        <v>647512.85</v>
      </c>
      <c r="N233" s="2">
        <v>153835.57</v>
      </c>
    </row>
    <row r="234" spans="1:14" ht="15.75" customHeight="1">
      <c r="A234" s="2" t="s">
        <v>80</v>
      </c>
      <c r="B234" s="3">
        <v>45658</v>
      </c>
      <c r="C234" s="2" t="s">
        <v>27</v>
      </c>
      <c r="D234" s="2" t="s">
        <v>16</v>
      </c>
      <c r="E234" s="2">
        <v>47241.919999999998</v>
      </c>
      <c r="F234" s="2">
        <v>4264</v>
      </c>
      <c r="G234" s="2">
        <v>6.9000000000000006E-2</v>
      </c>
      <c r="H234" s="2">
        <v>13</v>
      </c>
      <c r="I234" s="2">
        <v>95.3</v>
      </c>
      <c r="J234" s="2">
        <v>0.85</v>
      </c>
      <c r="K234" s="2">
        <v>0</v>
      </c>
      <c r="L234" s="2">
        <v>4.3</v>
      </c>
      <c r="M234" s="2">
        <v>658072.14</v>
      </c>
      <c r="N234" s="2">
        <v>110595.89</v>
      </c>
    </row>
    <row r="235" spans="1:14" ht="15.75" customHeight="1">
      <c r="A235" s="2" t="s">
        <v>80</v>
      </c>
      <c r="B235" s="3">
        <v>45689</v>
      </c>
      <c r="C235" s="2" t="s">
        <v>27</v>
      </c>
      <c r="D235" s="2" t="s">
        <v>16</v>
      </c>
      <c r="E235" s="2">
        <v>61650.79</v>
      </c>
      <c r="F235" s="2">
        <v>5321</v>
      </c>
      <c r="G235" s="2">
        <v>0.126</v>
      </c>
      <c r="H235" s="2">
        <v>17</v>
      </c>
      <c r="I235" s="2">
        <v>89.2</v>
      </c>
      <c r="J235" s="2">
        <v>2.13</v>
      </c>
      <c r="K235" s="2">
        <v>0</v>
      </c>
      <c r="L235" s="2">
        <v>4</v>
      </c>
      <c r="M235" s="2">
        <v>723305.11</v>
      </c>
      <c r="N235" s="2">
        <v>128468.7</v>
      </c>
    </row>
    <row r="236" spans="1:14" ht="15.75" customHeight="1">
      <c r="A236" s="2" t="s">
        <v>80</v>
      </c>
      <c r="B236" s="3">
        <v>45717</v>
      </c>
      <c r="C236" s="2" t="s">
        <v>27</v>
      </c>
      <c r="D236" s="2" t="s">
        <v>16</v>
      </c>
      <c r="E236" s="2">
        <v>62582.71</v>
      </c>
      <c r="F236" s="2">
        <v>5479</v>
      </c>
      <c r="G236" s="2">
        <v>4.8000000000000001E-2</v>
      </c>
      <c r="H236" s="2">
        <v>16</v>
      </c>
      <c r="I236" s="2">
        <v>81.2</v>
      </c>
      <c r="J236" s="2">
        <v>1.46</v>
      </c>
      <c r="K236" s="2">
        <v>0</v>
      </c>
      <c r="L236" s="2">
        <v>4.5</v>
      </c>
      <c r="M236" s="2">
        <v>640666.53</v>
      </c>
      <c r="N236" s="2">
        <v>134919.16</v>
      </c>
    </row>
    <row r="237" spans="1:14" ht="15.75" customHeight="1">
      <c r="A237" s="2" t="s">
        <v>80</v>
      </c>
      <c r="B237" s="3">
        <v>45748</v>
      </c>
      <c r="C237" s="2" t="s">
        <v>27</v>
      </c>
      <c r="D237" s="2" t="s">
        <v>16</v>
      </c>
      <c r="E237" s="2">
        <v>47944.14</v>
      </c>
      <c r="F237" s="2">
        <v>6169</v>
      </c>
      <c r="G237" s="2">
        <v>0.11899999999999999</v>
      </c>
      <c r="H237" s="2">
        <v>17</v>
      </c>
      <c r="I237" s="2">
        <v>92.2</v>
      </c>
      <c r="J237" s="2">
        <v>3.02</v>
      </c>
      <c r="K237" s="2">
        <v>0</v>
      </c>
      <c r="L237" s="2">
        <v>4.0999999999999996</v>
      </c>
      <c r="M237" s="2">
        <v>670629.48</v>
      </c>
      <c r="N237" s="2">
        <v>100140.8</v>
      </c>
    </row>
    <row r="238" spans="1:14" ht="15.75" customHeight="1">
      <c r="A238" s="2" t="s">
        <v>81</v>
      </c>
      <c r="B238" s="3">
        <v>45658</v>
      </c>
      <c r="C238" s="2" t="s">
        <v>27</v>
      </c>
      <c r="D238" s="2" t="s">
        <v>28</v>
      </c>
      <c r="E238" s="2">
        <v>46495.4</v>
      </c>
      <c r="F238" s="2">
        <v>9908</v>
      </c>
      <c r="G238" s="2">
        <v>0.121</v>
      </c>
      <c r="H238" s="2">
        <v>22</v>
      </c>
      <c r="I238" s="2">
        <v>89.4</v>
      </c>
      <c r="J238" s="2">
        <v>3.22</v>
      </c>
      <c r="K238" s="2">
        <v>0</v>
      </c>
      <c r="L238" s="2">
        <v>3.7</v>
      </c>
      <c r="M238" s="2">
        <v>721079.35</v>
      </c>
      <c r="N238" s="2">
        <v>115295.05</v>
      </c>
    </row>
    <row r="239" spans="1:14" ht="15.75" customHeight="1">
      <c r="A239" s="2" t="s">
        <v>81</v>
      </c>
      <c r="B239" s="3">
        <v>45689</v>
      </c>
      <c r="C239" s="2" t="s">
        <v>27</v>
      </c>
      <c r="D239" s="2" t="s">
        <v>28</v>
      </c>
      <c r="E239" s="2">
        <v>72961.95</v>
      </c>
      <c r="F239" s="2">
        <v>9996</v>
      </c>
      <c r="G239" s="2">
        <v>0.106</v>
      </c>
      <c r="H239" s="2">
        <v>22</v>
      </c>
      <c r="I239" s="2">
        <v>89.1</v>
      </c>
      <c r="J239" s="2">
        <v>15.66</v>
      </c>
      <c r="K239" s="2">
        <v>0</v>
      </c>
      <c r="L239" s="2">
        <v>3.4</v>
      </c>
      <c r="M239" s="2">
        <v>810355.02</v>
      </c>
      <c r="N239" s="2">
        <v>131510</v>
      </c>
    </row>
    <row r="240" spans="1:14" ht="15.75" customHeight="1">
      <c r="A240" s="2" t="s">
        <v>81</v>
      </c>
      <c r="B240" s="3">
        <v>45717</v>
      </c>
      <c r="C240" s="2" t="s">
        <v>27</v>
      </c>
      <c r="D240" s="2" t="s">
        <v>28</v>
      </c>
      <c r="E240" s="2">
        <v>59060.05</v>
      </c>
      <c r="F240" s="2">
        <v>9702</v>
      </c>
      <c r="G240" s="2">
        <v>0.20100000000000001</v>
      </c>
      <c r="H240" s="2">
        <v>23</v>
      </c>
      <c r="I240" s="2">
        <v>80.900000000000006</v>
      </c>
      <c r="J240" s="2">
        <v>6.96</v>
      </c>
      <c r="K240" s="2">
        <v>0</v>
      </c>
      <c r="L240" s="2">
        <v>3.2</v>
      </c>
      <c r="M240" s="2">
        <v>761919.25</v>
      </c>
      <c r="N240" s="2">
        <v>111893.06</v>
      </c>
    </row>
    <row r="241" spans="1:14" ht="15.75" customHeight="1">
      <c r="A241" s="2" t="s">
        <v>81</v>
      </c>
      <c r="B241" s="3">
        <v>45748</v>
      </c>
      <c r="C241" s="2" t="s">
        <v>27</v>
      </c>
      <c r="D241" s="2" t="s">
        <v>28</v>
      </c>
      <c r="E241" s="2">
        <v>26248.1</v>
      </c>
      <c r="F241" s="2">
        <v>9314</v>
      </c>
      <c r="G241" s="2">
        <v>0.186</v>
      </c>
      <c r="H241" s="2">
        <v>21</v>
      </c>
      <c r="I241" s="2">
        <v>83.7</v>
      </c>
      <c r="J241" s="2">
        <v>4.62</v>
      </c>
      <c r="K241" s="2">
        <v>0</v>
      </c>
      <c r="L241" s="2">
        <v>3.3</v>
      </c>
      <c r="M241" s="2">
        <v>737070.18</v>
      </c>
      <c r="N241" s="2">
        <v>117593.97</v>
      </c>
    </row>
    <row r="242" spans="1:14" ht="15.75" customHeight="1">
      <c r="A242" s="2" t="s">
        <v>82</v>
      </c>
      <c r="B242" s="3">
        <v>45658</v>
      </c>
      <c r="C242" s="2" t="s">
        <v>24</v>
      </c>
      <c r="D242" s="2" t="s">
        <v>21</v>
      </c>
      <c r="E242" s="2">
        <v>69900.12</v>
      </c>
      <c r="F242" s="2">
        <v>8055</v>
      </c>
      <c r="G242" s="2">
        <v>0.28100000000000003</v>
      </c>
      <c r="H242" s="2">
        <v>22</v>
      </c>
      <c r="I242" s="2">
        <v>85.6</v>
      </c>
      <c r="J242" s="2">
        <v>10.68</v>
      </c>
      <c r="K242" s="2">
        <v>1</v>
      </c>
      <c r="L242" s="2">
        <v>2.9</v>
      </c>
      <c r="M242" s="2">
        <v>776992.93</v>
      </c>
      <c r="N242" s="2">
        <v>101598.32</v>
      </c>
    </row>
    <row r="243" spans="1:14" ht="15.75" customHeight="1">
      <c r="A243" s="2" t="s">
        <v>82</v>
      </c>
      <c r="B243" s="3">
        <v>45689</v>
      </c>
      <c r="C243" s="2" t="s">
        <v>24</v>
      </c>
      <c r="D243" s="2" t="s">
        <v>21</v>
      </c>
      <c r="E243" s="2">
        <v>51781.599999999999</v>
      </c>
      <c r="F243" s="2">
        <v>5648</v>
      </c>
      <c r="G243" s="2">
        <v>5.8999999999999997E-2</v>
      </c>
      <c r="H243" s="2">
        <v>13</v>
      </c>
      <c r="I243" s="2">
        <v>85.5</v>
      </c>
      <c r="J243" s="2">
        <v>4.04</v>
      </c>
      <c r="K243" s="2">
        <v>0</v>
      </c>
      <c r="L243" s="2">
        <v>3.7</v>
      </c>
      <c r="M243" s="2">
        <v>676337.41</v>
      </c>
      <c r="N243" s="2">
        <v>104355.77</v>
      </c>
    </row>
    <row r="244" spans="1:14" ht="15.75" customHeight="1">
      <c r="A244" s="2" t="s">
        <v>82</v>
      </c>
      <c r="B244" s="3">
        <v>45717</v>
      </c>
      <c r="C244" s="2" t="s">
        <v>24</v>
      </c>
      <c r="D244" s="2" t="s">
        <v>21</v>
      </c>
      <c r="E244" s="2">
        <v>70799.64</v>
      </c>
      <c r="F244" s="2">
        <v>10076</v>
      </c>
      <c r="G244" s="2">
        <v>0.152</v>
      </c>
      <c r="H244" s="2">
        <v>24</v>
      </c>
      <c r="I244" s="2">
        <v>84.8</v>
      </c>
      <c r="J244" s="2">
        <v>1.87</v>
      </c>
      <c r="K244" s="2">
        <v>0</v>
      </c>
      <c r="L244" s="2">
        <v>3.5</v>
      </c>
      <c r="M244" s="2">
        <v>828219.67</v>
      </c>
      <c r="N244" s="2">
        <v>179806.87</v>
      </c>
    </row>
    <row r="245" spans="1:14" ht="15.75" customHeight="1">
      <c r="A245" s="2" t="s">
        <v>82</v>
      </c>
      <c r="B245" s="3">
        <v>45748</v>
      </c>
      <c r="C245" s="2" t="s">
        <v>24</v>
      </c>
      <c r="D245" s="2" t="s">
        <v>21</v>
      </c>
      <c r="E245" s="2">
        <v>53546.34</v>
      </c>
      <c r="F245" s="2">
        <v>8004</v>
      </c>
      <c r="G245" s="2">
        <v>0</v>
      </c>
      <c r="H245" s="2">
        <v>21</v>
      </c>
      <c r="I245" s="2">
        <v>95.2</v>
      </c>
      <c r="J245" s="2">
        <v>2.83</v>
      </c>
      <c r="K245" s="2">
        <v>0</v>
      </c>
      <c r="L245" s="2">
        <v>3</v>
      </c>
      <c r="M245" s="2">
        <v>763159.92</v>
      </c>
      <c r="N245" s="2">
        <v>177104.87</v>
      </c>
    </row>
    <row r="246" spans="1:14" ht="15.75" customHeight="1">
      <c r="A246" s="2" t="s">
        <v>83</v>
      </c>
      <c r="B246" s="3">
        <v>45658</v>
      </c>
      <c r="C246" s="2" t="s">
        <v>15</v>
      </c>
      <c r="D246" s="2" t="s">
        <v>18</v>
      </c>
      <c r="E246" s="2">
        <v>76942.2</v>
      </c>
      <c r="F246" s="2">
        <v>8934</v>
      </c>
      <c r="G246" s="2">
        <v>8.4000000000000005E-2</v>
      </c>
      <c r="H246" s="2">
        <v>20</v>
      </c>
      <c r="I246" s="2">
        <v>91</v>
      </c>
      <c r="J246" s="2">
        <v>0.95</v>
      </c>
      <c r="K246" s="2">
        <v>0</v>
      </c>
      <c r="L246" s="2">
        <v>3.2</v>
      </c>
      <c r="M246" s="2">
        <v>802001.68</v>
      </c>
      <c r="N246" s="2">
        <v>159715.82</v>
      </c>
    </row>
    <row r="247" spans="1:14" ht="15.75" customHeight="1">
      <c r="A247" s="2" t="s">
        <v>83</v>
      </c>
      <c r="B247" s="3">
        <v>45689</v>
      </c>
      <c r="C247" s="2" t="s">
        <v>15</v>
      </c>
      <c r="D247" s="2" t="s">
        <v>18</v>
      </c>
      <c r="E247" s="2">
        <v>48060.78</v>
      </c>
      <c r="F247" s="2">
        <v>8733</v>
      </c>
      <c r="G247" s="2">
        <v>0</v>
      </c>
      <c r="H247" s="2">
        <v>20</v>
      </c>
      <c r="I247" s="2">
        <v>89.9</v>
      </c>
      <c r="J247" s="2">
        <v>0.8</v>
      </c>
      <c r="K247" s="2">
        <v>0</v>
      </c>
      <c r="L247" s="2">
        <v>3.4</v>
      </c>
      <c r="M247" s="2">
        <v>750471.34</v>
      </c>
      <c r="N247" s="2">
        <v>133788.04</v>
      </c>
    </row>
    <row r="248" spans="1:14" ht="15.75" customHeight="1">
      <c r="A248" s="2" t="s">
        <v>83</v>
      </c>
      <c r="B248" s="3">
        <v>45717</v>
      </c>
      <c r="C248" s="2" t="s">
        <v>15</v>
      </c>
      <c r="D248" s="2" t="s">
        <v>18</v>
      </c>
      <c r="E248" s="2">
        <v>57390.04</v>
      </c>
      <c r="F248" s="2">
        <v>7374</v>
      </c>
      <c r="G248" s="2">
        <v>0.21</v>
      </c>
      <c r="H248" s="2">
        <v>21</v>
      </c>
      <c r="I248" s="2">
        <v>91.8</v>
      </c>
      <c r="J248" s="2">
        <v>0.2</v>
      </c>
      <c r="K248" s="2">
        <v>0</v>
      </c>
      <c r="L248" s="2">
        <v>3.1</v>
      </c>
      <c r="M248" s="2">
        <v>679230.86</v>
      </c>
      <c r="N248" s="2">
        <v>106927.58</v>
      </c>
    </row>
    <row r="249" spans="1:14" ht="15.75" customHeight="1">
      <c r="A249" s="2" t="s">
        <v>83</v>
      </c>
      <c r="B249" s="3">
        <v>45748</v>
      </c>
      <c r="C249" s="2" t="s">
        <v>15</v>
      </c>
      <c r="D249" s="2" t="s">
        <v>18</v>
      </c>
      <c r="E249" s="2">
        <v>21536.18</v>
      </c>
      <c r="F249" s="2">
        <v>8119</v>
      </c>
      <c r="G249" s="2">
        <v>0.22700000000000001</v>
      </c>
      <c r="H249" s="2">
        <v>20</v>
      </c>
      <c r="I249" s="2">
        <v>90.4</v>
      </c>
      <c r="J249" s="2">
        <v>1.7</v>
      </c>
      <c r="K249" s="2">
        <v>0</v>
      </c>
      <c r="L249" s="2">
        <v>3.3</v>
      </c>
      <c r="M249" s="2">
        <v>679888.74</v>
      </c>
      <c r="N249" s="2">
        <v>83406.89</v>
      </c>
    </row>
    <row r="250" spans="1:14" ht="15.75" customHeight="1">
      <c r="A250" s="2" t="s">
        <v>84</v>
      </c>
      <c r="B250" s="3">
        <v>45658</v>
      </c>
      <c r="C250" s="2" t="s">
        <v>20</v>
      </c>
      <c r="D250" s="2" t="s">
        <v>18</v>
      </c>
      <c r="E250" s="2">
        <v>40923.67</v>
      </c>
      <c r="F250" s="2">
        <v>3875</v>
      </c>
      <c r="G250" s="2">
        <v>0.15</v>
      </c>
      <c r="H250" s="2">
        <v>10</v>
      </c>
      <c r="I250" s="2">
        <v>96.1</v>
      </c>
      <c r="J250" s="2"/>
      <c r="K250" s="2">
        <v>0</v>
      </c>
      <c r="L250" s="2">
        <v>3.8</v>
      </c>
      <c r="M250" s="2">
        <v>606783.67000000004</v>
      </c>
      <c r="N250" s="2">
        <v>74515.87</v>
      </c>
    </row>
    <row r="251" spans="1:14" ht="15.75" customHeight="1">
      <c r="A251" s="2" t="s">
        <v>84</v>
      </c>
      <c r="B251" s="3">
        <v>45689</v>
      </c>
      <c r="C251" s="2" t="s">
        <v>20</v>
      </c>
      <c r="D251" s="2" t="s">
        <v>18</v>
      </c>
      <c r="E251" s="2">
        <v>72932.55</v>
      </c>
      <c r="F251" s="2">
        <v>5765</v>
      </c>
      <c r="G251" s="2">
        <v>2.5999999999999999E-2</v>
      </c>
      <c r="H251" s="2">
        <v>17</v>
      </c>
      <c r="I251" s="2">
        <v>81.8</v>
      </c>
      <c r="J251" s="2">
        <v>5.0999999999999996</v>
      </c>
      <c r="K251" s="2">
        <v>0</v>
      </c>
      <c r="L251" s="2">
        <v>3.6</v>
      </c>
      <c r="M251" s="2">
        <v>642751.42000000004</v>
      </c>
      <c r="N251" s="2">
        <v>131942.15</v>
      </c>
    </row>
    <row r="252" spans="1:14" ht="15.75" customHeight="1">
      <c r="A252" s="2" t="s">
        <v>84</v>
      </c>
      <c r="B252" s="3">
        <v>45717</v>
      </c>
      <c r="C252" s="2" t="s">
        <v>20</v>
      </c>
      <c r="D252" s="2" t="s">
        <v>18</v>
      </c>
      <c r="E252" s="2">
        <v>38361.93</v>
      </c>
      <c r="F252" s="2">
        <v>6322</v>
      </c>
      <c r="G252" s="2">
        <v>0.27300000000000002</v>
      </c>
      <c r="H252" s="2">
        <v>15</v>
      </c>
      <c r="I252" s="2">
        <v>88.4</v>
      </c>
      <c r="J252" s="2">
        <v>0.83</v>
      </c>
      <c r="K252" s="2">
        <v>0</v>
      </c>
      <c r="L252" s="2">
        <v>4</v>
      </c>
      <c r="M252" s="2">
        <v>647953.78</v>
      </c>
      <c r="N252" s="2">
        <v>118497.43</v>
      </c>
    </row>
    <row r="253" spans="1:14" ht="15.75" customHeight="1">
      <c r="A253" s="2" t="s">
        <v>84</v>
      </c>
      <c r="B253" s="3">
        <v>45748</v>
      </c>
      <c r="C253" s="2" t="s">
        <v>20</v>
      </c>
      <c r="D253" s="2" t="s">
        <v>18</v>
      </c>
      <c r="E253" s="2">
        <v>97480.94</v>
      </c>
      <c r="F253" s="2">
        <v>6840</v>
      </c>
      <c r="G253" s="2">
        <v>8.6999999999999994E-2</v>
      </c>
      <c r="H253" s="2">
        <v>14</v>
      </c>
      <c r="I253" s="2">
        <v>79.2</v>
      </c>
      <c r="J253" s="2">
        <v>1.1399999999999999</v>
      </c>
      <c r="K253" s="2">
        <v>0</v>
      </c>
      <c r="L253" s="2">
        <v>4</v>
      </c>
      <c r="M253" s="2">
        <v>729440.45</v>
      </c>
      <c r="N253" s="2">
        <v>87614.29</v>
      </c>
    </row>
    <row r="254" spans="1:14" ht="15.75" customHeight="1">
      <c r="A254" s="2" t="s">
        <v>85</v>
      </c>
      <c r="B254" s="3">
        <v>45658</v>
      </c>
      <c r="C254" s="2" t="s">
        <v>24</v>
      </c>
      <c r="D254" s="2" t="s">
        <v>21</v>
      </c>
      <c r="E254" s="2">
        <v>81801.8</v>
      </c>
      <c r="F254" s="2">
        <v>6782</v>
      </c>
      <c r="G254" s="2">
        <v>0.05</v>
      </c>
      <c r="H254" s="2">
        <v>16</v>
      </c>
      <c r="I254" s="2">
        <v>99</v>
      </c>
      <c r="J254" s="2">
        <v>9.5399999999999991</v>
      </c>
      <c r="K254" s="2">
        <v>0</v>
      </c>
      <c r="L254" s="2">
        <v>3.7</v>
      </c>
      <c r="M254" s="2">
        <v>764949</v>
      </c>
      <c r="N254" s="2">
        <v>148322.43</v>
      </c>
    </row>
    <row r="255" spans="1:14" ht="15.75" customHeight="1">
      <c r="A255" s="2" t="s">
        <v>85</v>
      </c>
      <c r="B255" s="3">
        <v>45689</v>
      </c>
      <c r="C255" s="2" t="s">
        <v>24</v>
      </c>
      <c r="D255" s="2" t="s">
        <v>21</v>
      </c>
      <c r="E255" s="2">
        <v>63582.11</v>
      </c>
      <c r="F255" s="2">
        <v>6856</v>
      </c>
      <c r="G255" s="2">
        <v>7.3999999999999996E-2</v>
      </c>
      <c r="H255" s="2">
        <v>17</v>
      </c>
      <c r="I255" s="2">
        <v>89.5</v>
      </c>
      <c r="J255" s="2">
        <v>5.48</v>
      </c>
      <c r="K255" s="2">
        <v>0</v>
      </c>
      <c r="L255" s="2">
        <v>3.2</v>
      </c>
      <c r="M255" s="2">
        <v>799046.94</v>
      </c>
      <c r="N255" s="2">
        <v>144553.64000000001</v>
      </c>
    </row>
    <row r="256" spans="1:14" ht="15.75" customHeight="1">
      <c r="A256" s="2" t="s">
        <v>85</v>
      </c>
      <c r="B256" s="3">
        <v>45717</v>
      </c>
      <c r="C256" s="2" t="s">
        <v>24</v>
      </c>
      <c r="D256" s="2" t="s">
        <v>21</v>
      </c>
      <c r="E256" s="2">
        <v>75412.740000000005</v>
      </c>
      <c r="F256" s="2">
        <v>5641</v>
      </c>
      <c r="G256" s="2">
        <v>5.8999999999999997E-2</v>
      </c>
      <c r="H256" s="2">
        <v>13</v>
      </c>
      <c r="I256" s="2">
        <v>87.9</v>
      </c>
      <c r="J256" s="2">
        <v>0.84</v>
      </c>
      <c r="K256" s="2">
        <v>0</v>
      </c>
      <c r="L256" s="2">
        <v>3.6</v>
      </c>
      <c r="M256" s="2">
        <v>720079.54</v>
      </c>
      <c r="N256" s="2">
        <v>119499.47</v>
      </c>
    </row>
    <row r="257" spans="1:14" ht="15.75" customHeight="1">
      <c r="A257" s="2" t="s">
        <v>85</v>
      </c>
      <c r="B257" s="3">
        <v>45748</v>
      </c>
      <c r="C257" s="2" t="s">
        <v>24</v>
      </c>
      <c r="D257" s="2" t="s">
        <v>21</v>
      </c>
      <c r="E257" s="2">
        <v>36290.080000000002</v>
      </c>
      <c r="F257" s="2">
        <v>5787</v>
      </c>
      <c r="G257" s="2">
        <v>0</v>
      </c>
      <c r="H257" s="2">
        <v>17</v>
      </c>
      <c r="I257" s="2">
        <v>88.3</v>
      </c>
      <c r="J257" s="2">
        <v>4.1900000000000004</v>
      </c>
      <c r="K257" s="2">
        <v>0</v>
      </c>
      <c r="L257" s="2">
        <v>4.0999999999999996</v>
      </c>
      <c r="M257" s="2">
        <v>612390.14</v>
      </c>
      <c r="N257" s="2">
        <v>108985.74</v>
      </c>
    </row>
    <row r="258" spans="1:14" ht="15.75" customHeight="1">
      <c r="A258" s="2" t="s">
        <v>86</v>
      </c>
      <c r="B258" s="3">
        <v>45658</v>
      </c>
      <c r="C258" s="2" t="s">
        <v>24</v>
      </c>
      <c r="D258" s="2" t="s">
        <v>28</v>
      </c>
      <c r="E258" s="2">
        <v>65272.58</v>
      </c>
      <c r="F258" s="2">
        <v>8165</v>
      </c>
      <c r="G258" s="2">
        <v>5.0999999999999997E-2</v>
      </c>
      <c r="H258" s="2">
        <v>19</v>
      </c>
      <c r="I258" s="2">
        <v>87.8</v>
      </c>
      <c r="J258" s="2">
        <v>1.26</v>
      </c>
      <c r="K258" s="2">
        <v>1</v>
      </c>
      <c r="L258" s="2">
        <v>4.3</v>
      </c>
      <c r="M258" s="2">
        <v>840108.12</v>
      </c>
      <c r="N258" s="2">
        <v>126587.01</v>
      </c>
    </row>
    <row r="259" spans="1:14" ht="15.75" customHeight="1">
      <c r="A259" s="2" t="s">
        <v>86</v>
      </c>
      <c r="B259" s="3">
        <v>45689</v>
      </c>
      <c r="C259" s="2" t="s">
        <v>24</v>
      </c>
      <c r="D259" s="2" t="s">
        <v>28</v>
      </c>
      <c r="E259" s="2">
        <v>28670.43</v>
      </c>
      <c r="F259" s="2">
        <v>7574</v>
      </c>
      <c r="G259" s="2">
        <v>0.114</v>
      </c>
      <c r="H259" s="2">
        <v>19</v>
      </c>
      <c r="I259" s="2">
        <v>82.7</v>
      </c>
      <c r="J259" s="2">
        <v>2.74</v>
      </c>
      <c r="K259" s="2">
        <v>0</v>
      </c>
      <c r="L259" s="2">
        <v>4.5999999999999996</v>
      </c>
      <c r="M259" s="2">
        <v>697888.09</v>
      </c>
      <c r="N259" s="2">
        <v>116249.87</v>
      </c>
    </row>
    <row r="260" spans="1:14" ht="15.75" customHeight="1">
      <c r="A260" s="2" t="s">
        <v>86</v>
      </c>
      <c r="B260" s="3">
        <v>45717</v>
      </c>
      <c r="C260" s="2" t="s">
        <v>24</v>
      </c>
      <c r="D260" s="2" t="s">
        <v>28</v>
      </c>
      <c r="E260" s="2">
        <v>44189.34</v>
      </c>
      <c r="F260" s="2">
        <v>8634</v>
      </c>
      <c r="G260" s="2">
        <v>0.14299999999999999</v>
      </c>
      <c r="H260" s="2">
        <v>19</v>
      </c>
      <c r="I260" s="2">
        <v>87.5</v>
      </c>
      <c r="J260" s="2">
        <v>3.69</v>
      </c>
      <c r="K260" s="2">
        <v>0</v>
      </c>
      <c r="L260" s="2">
        <v>4.4000000000000004</v>
      </c>
      <c r="M260" s="2">
        <v>746115.59</v>
      </c>
      <c r="N260" s="2">
        <v>94662.96</v>
      </c>
    </row>
    <row r="261" spans="1:14" ht="15.75" customHeight="1">
      <c r="A261" s="2" t="s">
        <v>86</v>
      </c>
      <c r="B261" s="3">
        <v>45748</v>
      </c>
      <c r="C261" s="2" t="s">
        <v>24</v>
      </c>
      <c r="D261" s="2" t="s">
        <v>28</v>
      </c>
      <c r="E261" s="2">
        <v>38397.82</v>
      </c>
      <c r="F261" s="2">
        <v>7836</v>
      </c>
      <c r="G261" s="2">
        <v>7.0000000000000001E-3</v>
      </c>
      <c r="H261" s="2">
        <v>21</v>
      </c>
      <c r="I261" s="2">
        <v>92.2</v>
      </c>
      <c r="J261" s="2">
        <v>1.82</v>
      </c>
      <c r="K261" s="2">
        <v>0</v>
      </c>
      <c r="L261" s="2">
        <v>3.6</v>
      </c>
      <c r="M261" s="2">
        <v>776110.32</v>
      </c>
      <c r="N261" s="2">
        <v>139676.21</v>
      </c>
    </row>
    <row r="262" spans="1:14" ht="15.75" customHeight="1">
      <c r="A262" s="2" t="s">
        <v>87</v>
      </c>
      <c r="B262" s="3">
        <v>45658</v>
      </c>
      <c r="C262" s="2" t="s">
        <v>27</v>
      </c>
      <c r="D262" s="2" t="s">
        <v>18</v>
      </c>
      <c r="E262" s="2">
        <v>14519.37</v>
      </c>
      <c r="F262" s="2">
        <v>3047</v>
      </c>
      <c r="G262" s="2">
        <v>0.13500000000000001</v>
      </c>
      <c r="H262" s="2">
        <v>10</v>
      </c>
      <c r="I262" s="2">
        <v>90.3</v>
      </c>
      <c r="J262" s="2">
        <v>6.62</v>
      </c>
      <c r="K262" s="2">
        <v>0</v>
      </c>
      <c r="L262" s="2">
        <v>4.2</v>
      </c>
      <c r="M262" s="2">
        <v>528852.62</v>
      </c>
      <c r="N262" s="2">
        <v>68426.210000000006</v>
      </c>
    </row>
    <row r="263" spans="1:14" ht="15.75" customHeight="1">
      <c r="A263" s="2" t="s">
        <v>87</v>
      </c>
      <c r="B263" s="3">
        <v>45689</v>
      </c>
      <c r="C263" s="2" t="s">
        <v>27</v>
      </c>
      <c r="D263" s="2" t="s">
        <v>18</v>
      </c>
      <c r="E263" s="2">
        <v>43288.2</v>
      </c>
      <c r="F263" s="2">
        <v>4783</v>
      </c>
      <c r="G263" s="2">
        <v>0.16900000000000001</v>
      </c>
      <c r="H263" s="2">
        <v>13</v>
      </c>
      <c r="I263" s="2">
        <v>87.3</v>
      </c>
      <c r="J263" s="2"/>
      <c r="K263" s="2">
        <v>0</v>
      </c>
      <c r="L263" s="2">
        <v>4.2</v>
      </c>
      <c r="M263" s="2">
        <v>605751.32999999996</v>
      </c>
      <c r="N263" s="2">
        <v>60685.53</v>
      </c>
    </row>
    <row r="264" spans="1:14" ht="15.75" customHeight="1">
      <c r="A264" s="2" t="s">
        <v>87</v>
      </c>
      <c r="B264" s="3">
        <v>45717</v>
      </c>
      <c r="C264" s="2" t="s">
        <v>27</v>
      </c>
      <c r="D264" s="2" t="s">
        <v>18</v>
      </c>
      <c r="E264" s="2">
        <v>51450.55</v>
      </c>
      <c r="F264" s="2">
        <v>4902</v>
      </c>
      <c r="G264" s="2">
        <v>8.5999999999999993E-2</v>
      </c>
      <c r="H264" s="2">
        <v>11</v>
      </c>
      <c r="I264" s="2">
        <v>83.7</v>
      </c>
      <c r="J264" s="2">
        <v>6.92</v>
      </c>
      <c r="K264" s="2">
        <v>1</v>
      </c>
      <c r="L264" s="2">
        <v>4.2</v>
      </c>
      <c r="M264" s="2">
        <v>677640.65</v>
      </c>
      <c r="N264" s="2">
        <v>111610.89</v>
      </c>
    </row>
    <row r="265" spans="1:14" ht="15.75" customHeight="1">
      <c r="A265" s="2" t="s">
        <v>87</v>
      </c>
      <c r="B265" s="3">
        <v>45748</v>
      </c>
      <c r="C265" s="2" t="s">
        <v>27</v>
      </c>
      <c r="D265" s="2" t="s">
        <v>18</v>
      </c>
      <c r="E265" s="2">
        <v>58688.26</v>
      </c>
      <c r="F265" s="2">
        <v>4022</v>
      </c>
      <c r="G265" s="2">
        <v>0.217</v>
      </c>
      <c r="H265" s="2">
        <v>12</v>
      </c>
      <c r="I265" s="2">
        <v>93.8</v>
      </c>
      <c r="J265" s="2">
        <v>11.78</v>
      </c>
      <c r="K265" s="2">
        <v>0</v>
      </c>
      <c r="L265" s="2">
        <v>3.7</v>
      </c>
      <c r="M265" s="2">
        <v>636613.23</v>
      </c>
      <c r="N265" s="2">
        <v>78908.350000000006</v>
      </c>
    </row>
    <row r="266" spans="1:14" ht="15.75" customHeight="1">
      <c r="A266" s="2" t="s">
        <v>88</v>
      </c>
      <c r="B266" s="3">
        <v>45658</v>
      </c>
      <c r="C266" s="2" t="s">
        <v>15</v>
      </c>
      <c r="D266" s="2" t="s">
        <v>18</v>
      </c>
      <c r="E266" s="2">
        <v>58981.91</v>
      </c>
      <c r="F266" s="2">
        <v>7324</v>
      </c>
      <c r="G266" s="2">
        <v>9.4E-2</v>
      </c>
      <c r="H266" s="2">
        <v>15</v>
      </c>
      <c r="I266" s="2">
        <v>95.8</v>
      </c>
      <c r="J266" s="2">
        <v>0.5</v>
      </c>
      <c r="K266" s="2">
        <v>0</v>
      </c>
      <c r="L266" s="2">
        <v>3.5</v>
      </c>
      <c r="M266" s="2">
        <v>708985.19</v>
      </c>
      <c r="N266" s="2">
        <v>125368.16</v>
      </c>
    </row>
    <row r="267" spans="1:14" ht="15.75" customHeight="1">
      <c r="A267" s="2" t="s">
        <v>88</v>
      </c>
      <c r="B267" s="3">
        <v>45689</v>
      </c>
      <c r="C267" s="2" t="s">
        <v>15</v>
      </c>
      <c r="D267" s="2" t="s">
        <v>18</v>
      </c>
      <c r="E267" s="2">
        <v>73454.539999999994</v>
      </c>
      <c r="F267" s="2">
        <v>8129</v>
      </c>
      <c r="G267" s="2">
        <v>0.21099999999999999</v>
      </c>
      <c r="H267" s="2">
        <v>20</v>
      </c>
      <c r="I267" s="2">
        <v>85.2</v>
      </c>
      <c r="J267" s="2">
        <v>0.88</v>
      </c>
      <c r="K267" s="2">
        <v>0</v>
      </c>
      <c r="L267" s="2">
        <v>3.7</v>
      </c>
      <c r="M267" s="2">
        <v>767792.94</v>
      </c>
      <c r="N267" s="2">
        <v>96235.77</v>
      </c>
    </row>
    <row r="268" spans="1:14" ht="15.75" customHeight="1">
      <c r="A268" s="2" t="s">
        <v>88</v>
      </c>
      <c r="B268" s="3">
        <v>45717</v>
      </c>
      <c r="C268" s="2" t="s">
        <v>15</v>
      </c>
      <c r="D268" s="2" t="s">
        <v>18</v>
      </c>
      <c r="E268" s="2">
        <v>56602.39</v>
      </c>
      <c r="F268" s="2">
        <v>7969</v>
      </c>
      <c r="G268" s="2">
        <v>0.17</v>
      </c>
      <c r="H268" s="2">
        <v>21</v>
      </c>
      <c r="I268" s="2">
        <v>88.3</v>
      </c>
      <c r="J268" s="2">
        <v>2.25</v>
      </c>
      <c r="K268" s="2">
        <v>0</v>
      </c>
      <c r="L268" s="2">
        <v>3.7</v>
      </c>
      <c r="M268" s="2">
        <v>745580.51</v>
      </c>
      <c r="N268" s="2">
        <v>116273.68</v>
      </c>
    </row>
    <row r="269" spans="1:14" ht="15.75" customHeight="1">
      <c r="A269" s="2" t="s">
        <v>88</v>
      </c>
      <c r="B269" s="3">
        <v>45748</v>
      </c>
      <c r="C269" s="2" t="s">
        <v>15</v>
      </c>
      <c r="D269" s="2" t="s">
        <v>18</v>
      </c>
      <c r="E269" s="2">
        <v>67722.289999999994</v>
      </c>
      <c r="F269" s="2">
        <v>7240</v>
      </c>
      <c r="G269" s="2">
        <v>2.5999999999999999E-2</v>
      </c>
      <c r="H269" s="2">
        <v>15</v>
      </c>
      <c r="I269" s="2">
        <v>92.9</v>
      </c>
      <c r="J269" s="2">
        <v>0.28999999999999998</v>
      </c>
      <c r="K269" s="2">
        <v>0</v>
      </c>
      <c r="L269" s="2">
        <v>3.5</v>
      </c>
      <c r="M269" s="2">
        <v>762328.31</v>
      </c>
      <c r="N269" s="2">
        <v>159158.19</v>
      </c>
    </row>
    <row r="270" spans="1:14" ht="15.75" customHeight="1">
      <c r="A270" s="2" t="s">
        <v>89</v>
      </c>
      <c r="B270" s="3">
        <v>45658</v>
      </c>
      <c r="C270" s="2" t="s">
        <v>15</v>
      </c>
      <c r="D270" s="2" t="s">
        <v>28</v>
      </c>
      <c r="E270" s="2">
        <v>48752.92</v>
      </c>
      <c r="F270" s="2">
        <v>8052</v>
      </c>
      <c r="G270" s="2">
        <v>0.106</v>
      </c>
      <c r="H270" s="2">
        <v>16</v>
      </c>
      <c r="I270" s="2">
        <v>94.9</v>
      </c>
      <c r="J270" s="2">
        <v>0.65</v>
      </c>
      <c r="K270" s="2">
        <v>0</v>
      </c>
      <c r="L270" s="2">
        <v>3.6</v>
      </c>
      <c r="M270" s="2">
        <v>660633.99</v>
      </c>
      <c r="N270" s="2">
        <v>118768.66</v>
      </c>
    </row>
    <row r="271" spans="1:14" ht="15.75" customHeight="1">
      <c r="A271" s="2" t="s">
        <v>89</v>
      </c>
      <c r="B271" s="3">
        <v>45689</v>
      </c>
      <c r="C271" s="2" t="s">
        <v>15</v>
      </c>
      <c r="D271" s="2" t="s">
        <v>28</v>
      </c>
      <c r="E271" s="2">
        <v>23914.97</v>
      </c>
      <c r="F271" s="2">
        <v>8018</v>
      </c>
      <c r="G271" s="2">
        <v>0.13900000000000001</v>
      </c>
      <c r="H271" s="2">
        <v>20</v>
      </c>
      <c r="I271" s="2">
        <v>89</v>
      </c>
      <c r="J271" s="2">
        <v>0.2</v>
      </c>
      <c r="K271" s="2">
        <v>0</v>
      </c>
      <c r="L271" s="2">
        <v>3.5</v>
      </c>
      <c r="M271" s="2">
        <v>739374.56</v>
      </c>
      <c r="N271" s="2">
        <v>121032.29</v>
      </c>
    </row>
    <row r="272" spans="1:14" ht="15.75" customHeight="1">
      <c r="A272" s="2" t="s">
        <v>89</v>
      </c>
      <c r="B272" s="3">
        <v>45717</v>
      </c>
      <c r="C272" s="2" t="s">
        <v>15</v>
      </c>
      <c r="D272" s="2" t="s">
        <v>28</v>
      </c>
      <c r="E272" s="2">
        <v>61995.3</v>
      </c>
      <c r="F272" s="2">
        <v>10192</v>
      </c>
      <c r="G272" s="2">
        <v>0.19800000000000001</v>
      </c>
      <c r="H272" s="2">
        <v>21</v>
      </c>
      <c r="I272" s="2">
        <v>87.6</v>
      </c>
      <c r="J272" s="2">
        <v>3.63</v>
      </c>
      <c r="K272" s="2">
        <v>1</v>
      </c>
      <c r="L272" s="2">
        <v>3.8</v>
      </c>
      <c r="M272" s="2">
        <v>799756.46</v>
      </c>
      <c r="N272" s="2">
        <v>105052.93</v>
      </c>
    </row>
    <row r="273" spans="1:14" ht="15.75" customHeight="1">
      <c r="A273" s="2" t="s">
        <v>89</v>
      </c>
      <c r="B273" s="3">
        <v>45748</v>
      </c>
      <c r="C273" s="2" t="s">
        <v>15</v>
      </c>
      <c r="D273" s="2" t="s">
        <v>28</v>
      </c>
      <c r="E273" s="2">
        <v>29344.93</v>
      </c>
      <c r="F273" s="2">
        <v>7446</v>
      </c>
      <c r="G273" s="2">
        <v>0.111</v>
      </c>
      <c r="H273" s="2">
        <v>15</v>
      </c>
      <c r="I273" s="2">
        <v>86.2</v>
      </c>
      <c r="J273" s="2">
        <v>0.2</v>
      </c>
      <c r="K273" s="2">
        <v>0</v>
      </c>
      <c r="L273" s="2">
        <v>3.2</v>
      </c>
      <c r="M273" s="2">
        <v>593343</v>
      </c>
      <c r="N273" s="2">
        <v>82832.240000000005</v>
      </c>
    </row>
    <row r="274" spans="1:14" ht="15.75" customHeight="1">
      <c r="A274" s="2" t="s">
        <v>90</v>
      </c>
      <c r="B274" s="3">
        <v>45658</v>
      </c>
      <c r="C274" s="2" t="s">
        <v>27</v>
      </c>
      <c r="D274" s="2" t="s">
        <v>18</v>
      </c>
      <c r="E274" s="2">
        <v>50532.17</v>
      </c>
      <c r="F274" s="2">
        <v>5689</v>
      </c>
      <c r="G274" s="2">
        <v>5.1999999999999998E-2</v>
      </c>
      <c r="H274" s="2">
        <v>17</v>
      </c>
      <c r="I274" s="2">
        <v>85.6</v>
      </c>
      <c r="J274" s="2">
        <v>6.23</v>
      </c>
      <c r="K274" s="2">
        <v>0</v>
      </c>
      <c r="L274" s="2">
        <v>3.3</v>
      </c>
      <c r="M274" s="2">
        <v>645039.97</v>
      </c>
      <c r="N274" s="2">
        <v>83093.33</v>
      </c>
    </row>
    <row r="275" spans="1:14" ht="15.75" customHeight="1">
      <c r="A275" s="2" t="s">
        <v>90</v>
      </c>
      <c r="B275" s="3">
        <v>45689</v>
      </c>
      <c r="C275" s="2" t="s">
        <v>27</v>
      </c>
      <c r="D275" s="2" t="s">
        <v>18</v>
      </c>
      <c r="E275" s="2">
        <v>17562.57</v>
      </c>
      <c r="F275" s="2">
        <v>3326</v>
      </c>
      <c r="G275" s="2">
        <v>0.153</v>
      </c>
      <c r="H275" s="2">
        <v>14</v>
      </c>
      <c r="I275" s="2">
        <v>88.1</v>
      </c>
      <c r="J275" s="2">
        <v>1.04</v>
      </c>
      <c r="K275" s="2">
        <v>0</v>
      </c>
      <c r="L275" s="2">
        <v>3.1</v>
      </c>
      <c r="M275" s="2">
        <v>561597.32999999996</v>
      </c>
      <c r="N275" s="2">
        <v>75072.75</v>
      </c>
    </row>
    <row r="276" spans="1:14" ht="15.75" customHeight="1">
      <c r="A276" s="2" t="s">
        <v>90</v>
      </c>
      <c r="B276" s="3">
        <v>45717</v>
      </c>
      <c r="C276" s="2" t="s">
        <v>27</v>
      </c>
      <c r="D276" s="2" t="s">
        <v>18</v>
      </c>
      <c r="E276" s="2">
        <v>47648.71</v>
      </c>
      <c r="F276" s="2">
        <v>5767</v>
      </c>
      <c r="G276" s="2">
        <v>0.14099999999999999</v>
      </c>
      <c r="H276" s="2">
        <v>17</v>
      </c>
      <c r="I276" s="2">
        <v>89.8</v>
      </c>
      <c r="J276" s="2">
        <v>1.76</v>
      </c>
      <c r="K276" s="2">
        <v>0</v>
      </c>
      <c r="L276" s="2">
        <v>3.1</v>
      </c>
      <c r="M276" s="2">
        <v>635837.74</v>
      </c>
      <c r="N276" s="2">
        <v>114740.64</v>
      </c>
    </row>
    <row r="277" spans="1:14" ht="15.75" customHeight="1">
      <c r="A277" s="2" t="s">
        <v>90</v>
      </c>
      <c r="B277" s="3">
        <v>45748</v>
      </c>
      <c r="C277" s="2" t="s">
        <v>27</v>
      </c>
      <c r="D277" s="2" t="s">
        <v>18</v>
      </c>
      <c r="E277" s="2">
        <v>38297.58</v>
      </c>
      <c r="F277" s="2">
        <v>5893</v>
      </c>
      <c r="G277" s="2">
        <v>0.247</v>
      </c>
      <c r="H277" s="2">
        <v>18</v>
      </c>
      <c r="I277" s="2">
        <v>77.599999999999994</v>
      </c>
      <c r="J277" s="2">
        <v>2.86</v>
      </c>
      <c r="K277" s="2">
        <v>0</v>
      </c>
      <c r="L277" s="2">
        <v>3</v>
      </c>
      <c r="M277" s="2">
        <v>686737.87</v>
      </c>
      <c r="N277" s="2">
        <v>83839.67</v>
      </c>
    </row>
    <row r="278" spans="1:14" ht="15.75" customHeight="1">
      <c r="A278" s="2" t="s">
        <v>91</v>
      </c>
      <c r="B278" s="3">
        <v>45658</v>
      </c>
      <c r="C278" s="2" t="s">
        <v>24</v>
      </c>
      <c r="D278" s="2" t="s">
        <v>16</v>
      </c>
      <c r="E278" s="2">
        <v>61784.11</v>
      </c>
      <c r="F278" s="2">
        <v>8564</v>
      </c>
      <c r="G278" s="2">
        <v>0.13</v>
      </c>
      <c r="H278" s="2">
        <v>17</v>
      </c>
      <c r="I278" s="2">
        <v>87.4</v>
      </c>
      <c r="J278" s="2">
        <v>18.14</v>
      </c>
      <c r="K278" s="2">
        <v>1</v>
      </c>
      <c r="L278" s="2">
        <v>3.4</v>
      </c>
      <c r="M278" s="2">
        <v>673076.34</v>
      </c>
      <c r="N278" s="2">
        <v>93899.76</v>
      </c>
    </row>
    <row r="279" spans="1:14" ht="15.75" customHeight="1">
      <c r="A279" s="2" t="s">
        <v>91</v>
      </c>
      <c r="B279" s="3">
        <v>45689</v>
      </c>
      <c r="C279" s="2" t="s">
        <v>24</v>
      </c>
      <c r="D279" s="2" t="s">
        <v>16</v>
      </c>
      <c r="E279" s="2">
        <v>36832.33</v>
      </c>
      <c r="F279" s="2">
        <v>8001</v>
      </c>
      <c r="G279" s="2">
        <v>0</v>
      </c>
      <c r="H279" s="2">
        <v>19</v>
      </c>
      <c r="I279" s="2">
        <v>88.7</v>
      </c>
      <c r="J279" s="2">
        <v>3.39</v>
      </c>
      <c r="K279" s="2">
        <v>0</v>
      </c>
      <c r="L279" s="2">
        <v>4</v>
      </c>
      <c r="M279" s="2">
        <v>738548.42</v>
      </c>
      <c r="N279" s="2">
        <v>134282.76999999999</v>
      </c>
    </row>
    <row r="280" spans="1:14" ht="15.75" customHeight="1">
      <c r="A280" s="2" t="s">
        <v>91</v>
      </c>
      <c r="B280" s="3">
        <v>45717</v>
      </c>
      <c r="C280" s="2" t="s">
        <v>24</v>
      </c>
      <c r="D280" s="2" t="s">
        <v>16</v>
      </c>
      <c r="E280" s="2">
        <v>48609.41</v>
      </c>
      <c r="F280" s="2">
        <v>9324</v>
      </c>
      <c r="G280" s="2">
        <v>0.21299999999999999</v>
      </c>
      <c r="H280" s="2">
        <v>18</v>
      </c>
      <c r="I280" s="2">
        <v>86.5</v>
      </c>
      <c r="J280" s="2">
        <v>1.44</v>
      </c>
      <c r="K280" s="2">
        <v>0</v>
      </c>
      <c r="L280" s="2">
        <v>3.9</v>
      </c>
      <c r="M280" s="2">
        <v>756619.77</v>
      </c>
      <c r="N280" s="2">
        <v>112057.69</v>
      </c>
    </row>
    <row r="281" spans="1:14" ht="15.75" customHeight="1">
      <c r="A281" s="2" t="s">
        <v>91</v>
      </c>
      <c r="B281" s="3">
        <v>45748</v>
      </c>
      <c r="C281" s="2" t="s">
        <v>24</v>
      </c>
      <c r="D281" s="2" t="s">
        <v>16</v>
      </c>
      <c r="E281" s="2">
        <v>70284.06</v>
      </c>
      <c r="F281" s="2">
        <v>9109</v>
      </c>
      <c r="G281" s="2">
        <v>4.0000000000000001E-3</v>
      </c>
      <c r="H281" s="2">
        <v>23</v>
      </c>
      <c r="I281" s="2">
        <v>87</v>
      </c>
      <c r="J281" s="2">
        <v>3.65</v>
      </c>
      <c r="K281" s="2">
        <v>0</v>
      </c>
      <c r="L281" s="2">
        <v>3.7</v>
      </c>
      <c r="M281" s="2">
        <v>761122.42</v>
      </c>
      <c r="N281" s="2">
        <v>149802.04</v>
      </c>
    </row>
    <row r="282" spans="1:14" ht="15.75" customHeight="1">
      <c r="A282" s="2" t="s">
        <v>92</v>
      </c>
      <c r="B282" s="3">
        <v>45658</v>
      </c>
      <c r="C282" s="2" t="s">
        <v>24</v>
      </c>
      <c r="D282" s="2" t="s">
        <v>18</v>
      </c>
      <c r="E282" s="2">
        <v>45940.39</v>
      </c>
      <c r="F282" s="2">
        <v>4022</v>
      </c>
      <c r="G282" s="2">
        <v>6.9000000000000006E-2</v>
      </c>
      <c r="H282" s="2">
        <v>10</v>
      </c>
      <c r="I282" s="2">
        <v>83</v>
      </c>
      <c r="J282" s="2">
        <v>1.23</v>
      </c>
      <c r="K282" s="2">
        <v>1</v>
      </c>
      <c r="L282" s="2">
        <v>3.8</v>
      </c>
      <c r="M282" s="2">
        <v>524899.56999999995</v>
      </c>
      <c r="N282" s="2">
        <v>63619.98</v>
      </c>
    </row>
    <row r="283" spans="1:14" ht="15.75" customHeight="1">
      <c r="A283" s="2" t="s">
        <v>92</v>
      </c>
      <c r="B283" s="3">
        <v>45689</v>
      </c>
      <c r="C283" s="2" t="s">
        <v>24</v>
      </c>
      <c r="D283" s="2" t="s">
        <v>18</v>
      </c>
      <c r="E283" s="2">
        <v>34771.26</v>
      </c>
      <c r="F283" s="2">
        <v>4355</v>
      </c>
      <c r="G283" s="2">
        <v>5.0999999999999997E-2</v>
      </c>
      <c r="H283" s="2">
        <v>15</v>
      </c>
      <c r="I283" s="2">
        <v>87.9</v>
      </c>
      <c r="J283" s="2">
        <v>3.09</v>
      </c>
      <c r="K283" s="2">
        <v>0</v>
      </c>
      <c r="L283" s="2">
        <v>4</v>
      </c>
      <c r="M283" s="2">
        <v>555557.77</v>
      </c>
      <c r="N283" s="2">
        <v>86475.51</v>
      </c>
    </row>
    <row r="284" spans="1:14" ht="15.75" customHeight="1">
      <c r="A284" s="2" t="s">
        <v>92</v>
      </c>
      <c r="B284" s="3">
        <v>45717</v>
      </c>
      <c r="C284" s="2" t="s">
        <v>24</v>
      </c>
      <c r="D284" s="2" t="s">
        <v>18</v>
      </c>
      <c r="E284" s="2">
        <v>66104.19</v>
      </c>
      <c r="F284" s="2">
        <v>5745</v>
      </c>
      <c r="G284" s="2">
        <v>7.0000000000000007E-2</v>
      </c>
      <c r="H284" s="2">
        <v>17</v>
      </c>
      <c r="I284" s="2">
        <v>95.8</v>
      </c>
      <c r="J284" s="2">
        <v>3.15</v>
      </c>
      <c r="K284" s="2">
        <v>0</v>
      </c>
      <c r="L284" s="2">
        <v>4</v>
      </c>
      <c r="M284" s="2">
        <v>714083.68</v>
      </c>
      <c r="N284" s="2">
        <v>127231.74</v>
      </c>
    </row>
    <row r="285" spans="1:14" ht="15.75" customHeight="1">
      <c r="A285" s="2" t="s">
        <v>92</v>
      </c>
      <c r="B285" s="3">
        <v>45748</v>
      </c>
      <c r="C285" s="2" t="s">
        <v>24</v>
      </c>
      <c r="D285" s="2" t="s">
        <v>18</v>
      </c>
      <c r="E285" s="2">
        <v>18599.21</v>
      </c>
      <c r="F285" s="2">
        <v>3027</v>
      </c>
      <c r="G285" s="2">
        <v>0.122</v>
      </c>
      <c r="H285" s="2">
        <v>11</v>
      </c>
      <c r="I285" s="2">
        <v>80.900000000000006</v>
      </c>
      <c r="J285" s="2">
        <v>6.44</v>
      </c>
      <c r="K285" s="2">
        <v>0</v>
      </c>
      <c r="L285" s="2">
        <v>4.2</v>
      </c>
      <c r="M285" s="2">
        <v>497439.82</v>
      </c>
      <c r="N285" s="2">
        <v>93372.75</v>
      </c>
    </row>
    <row r="286" spans="1:14" ht="15.75" customHeight="1">
      <c r="A286" s="2" t="s">
        <v>93</v>
      </c>
      <c r="B286" s="3">
        <v>45658</v>
      </c>
      <c r="C286" s="2" t="s">
        <v>27</v>
      </c>
      <c r="D286" s="2" t="s">
        <v>16</v>
      </c>
      <c r="E286" s="2">
        <v>60183.06</v>
      </c>
      <c r="F286" s="2">
        <v>5562</v>
      </c>
      <c r="G286" s="2">
        <v>8.9999999999999993E-3</v>
      </c>
      <c r="H286" s="2">
        <v>13</v>
      </c>
      <c r="I286" s="2">
        <v>86.3</v>
      </c>
      <c r="J286" s="2">
        <v>0.2</v>
      </c>
      <c r="K286" s="2">
        <v>1</v>
      </c>
      <c r="L286" s="2">
        <v>4.5</v>
      </c>
      <c r="M286" s="2">
        <v>636775.66</v>
      </c>
      <c r="N286" s="2">
        <v>122636.86</v>
      </c>
    </row>
    <row r="287" spans="1:14" ht="15.75" customHeight="1">
      <c r="A287" s="2" t="s">
        <v>93</v>
      </c>
      <c r="B287" s="3">
        <v>45689</v>
      </c>
      <c r="C287" s="2" t="s">
        <v>27</v>
      </c>
      <c r="D287" s="2" t="s">
        <v>16</v>
      </c>
      <c r="E287" s="2">
        <v>74539.14</v>
      </c>
      <c r="F287" s="2">
        <v>4487</v>
      </c>
      <c r="G287" s="2">
        <v>0.14000000000000001</v>
      </c>
      <c r="H287" s="2">
        <v>10</v>
      </c>
      <c r="I287" s="2">
        <v>90.4</v>
      </c>
      <c r="J287" s="2">
        <v>0.59</v>
      </c>
      <c r="K287" s="2">
        <v>0</v>
      </c>
      <c r="L287" s="2">
        <v>4.5</v>
      </c>
      <c r="M287" s="2">
        <v>633009.53</v>
      </c>
      <c r="N287" s="2">
        <v>123782.67</v>
      </c>
    </row>
    <row r="288" spans="1:14" ht="15.75" customHeight="1">
      <c r="A288" s="2" t="s">
        <v>93</v>
      </c>
      <c r="B288" s="3">
        <v>45717</v>
      </c>
      <c r="C288" s="2" t="s">
        <v>27</v>
      </c>
      <c r="D288" s="2" t="s">
        <v>16</v>
      </c>
      <c r="E288" s="2">
        <v>55371.97</v>
      </c>
      <c r="F288" s="2">
        <v>4162</v>
      </c>
      <c r="G288" s="2">
        <v>0.183</v>
      </c>
      <c r="H288" s="2">
        <v>11</v>
      </c>
      <c r="I288" s="2">
        <v>92</v>
      </c>
      <c r="J288" s="2">
        <v>0.2</v>
      </c>
      <c r="K288" s="2">
        <v>1</v>
      </c>
      <c r="L288" s="2">
        <v>4.2</v>
      </c>
      <c r="M288" s="2">
        <v>609949</v>
      </c>
      <c r="N288" s="2">
        <v>126789.25</v>
      </c>
    </row>
    <row r="289" spans="1:14" ht="15.75" customHeight="1">
      <c r="A289" s="2" t="s">
        <v>93</v>
      </c>
      <c r="B289" s="3">
        <v>45748</v>
      </c>
      <c r="C289" s="2" t="s">
        <v>27</v>
      </c>
      <c r="D289" s="2" t="s">
        <v>16</v>
      </c>
      <c r="E289" s="2">
        <v>40928.69</v>
      </c>
      <c r="F289" s="2">
        <v>4094</v>
      </c>
      <c r="G289" s="2">
        <v>0.17399999999999999</v>
      </c>
      <c r="H289" s="2">
        <v>13</v>
      </c>
      <c r="I289" s="2">
        <v>82.4</v>
      </c>
      <c r="J289" s="2">
        <v>1.36</v>
      </c>
      <c r="K289" s="2">
        <v>0</v>
      </c>
      <c r="L289" s="2">
        <v>4.8</v>
      </c>
      <c r="M289" s="2">
        <v>548103.69999999995</v>
      </c>
      <c r="N289" s="2">
        <v>99905.52</v>
      </c>
    </row>
    <row r="290" spans="1:14" ht="15.75" customHeight="1">
      <c r="A290" s="2" t="s">
        <v>94</v>
      </c>
      <c r="B290" s="3">
        <v>45658</v>
      </c>
      <c r="C290" s="2" t="s">
        <v>15</v>
      </c>
      <c r="D290" s="2" t="s">
        <v>16</v>
      </c>
      <c r="E290" s="2">
        <v>70012.41</v>
      </c>
      <c r="F290" s="2">
        <v>8484</v>
      </c>
      <c r="G290" s="2">
        <v>0.27300000000000002</v>
      </c>
      <c r="H290" s="2">
        <v>23</v>
      </c>
      <c r="I290" s="2">
        <v>72.900000000000006</v>
      </c>
      <c r="J290" s="2">
        <v>3.34</v>
      </c>
      <c r="K290" s="2">
        <v>0</v>
      </c>
      <c r="L290" s="2">
        <v>3.7</v>
      </c>
      <c r="M290" s="2">
        <v>729424.42</v>
      </c>
      <c r="N290" s="2">
        <v>75592.28</v>
      </c>
    </row>
    <row r="291" spans="1:14" ht="15.75" customHeight="1">
      <c r="A291" s="2" t="s">
        <v>94</v>
      </c>
      <c r="B291" s="3">
        <v>45689</v>
      </c>
      <c r="C291" s="2" t="s">
        <v>15</v>
      </c>
      <c r="D291" s="2" t="s">
        <v>16</v>
      </c>
      <c r="E291" s="2">
        <v>68909.259999999995</v>
      </c>
      <c r="F291" s="2">
        <v>7794</v>
      </c>
      <c r="G291" s="2">
        <v>0.28399999999999997</v>
      </c>
      <c r="H291" s="2">
        <v>22</v>
      </c>
      <c r="I291" s="2">
        <v>89</v>
      </c>
      <c r="J291" s="2">
        <v>0.33</v>
      </c>
      <c r="K291" s="2">
        <v>0</v>
      </c>
      <c r="L291" s="2">
        <v>4</v>
      </c>
      <c r="M291" s="2">
        <v>696261.49</v>
      </c>
      <c r="N291" s="2">
        <v>72455.350000000006</v>
      </c>
    </row>
    <row r="292" spans="1:14" ht="15.75" customHeight="1">
      <c r="A292" s="2" t="s">
        <v>94</v>
      </c>
      <c r="B292" s="3">
        <v>45717</v>
      </c>
      <c r="C292" s="2" t="s">
        <v>15</v>
      </c>
      <c r="D292" s="2" t="s">
        <v>16</v>
      </c>
      <c r="E292" s="2">
        <v>56737.3</v>
      </c>
      <c r="F292" s="2">
        <v>8300</v>
      </c>
      <c r="G292" s="2">
        <v>3.2000000000000001E-2</v>
      </c>
      <c r="H292" s="2">
        <v>21</v>
      </c>
      <c r="I292" s="2">
        <v>83.2</v>
      </c>
      <c r="J292" s="2">
        <v>3.44</v>
      </c>
      <c r="K292" s="2">
        <v>1</v>
      </c>
      <c r="L292" s="2">
        <v>4.3</v>
      </c>
      <c r="M292" s="2">
        <v>813316.71</v>
      </c>
      <c r="N292" s="2">
        <v>110077.42</v>
      </c>
    </row>
    <row r="293" spans="1:14" ht="15.75" customHeight="1">
      <c r="A293" s="2" t="s">
        <v>94</v>
      </c>
      <c r="B293" s="3">
        <v>45748</v>
      </c>
      <c r="C293" s="2" t="s">
        <v>15</v>
      </c>
      <c r="D293" s="2" t="s">
        <v>16</v>
      </c>
      <c r="E293" s="2">
        <v>54080.91</v>
      </c>
      <c r="F293" s="2">
        <v>7083</v>
      </c>
      <c r="G293" s="2">
        <v>0</v>
      </c>
      <c r="H293" s="2">
        <v>15</v>
      </c>
      <c r="I293" s="2">
        <v>97</v>
      </c>
      <c r="J293" s="2">
        <v>5.33</v>
      </c>
      <c r="K293" s="2">
        <v>0</v>
      </c>
      <c r="L293" s="2">
        <v>4.0999999999999996</v>
      </c>
      <c r="M293" s="2">
        <v>702068.92</v>
      </c>
      <c r="N293" s="2">
        <v>111266.63</v>
      </c>
    </row>
    <row r="294" spans="1:14" ht="15.75" customHeight="1">
      <c r="A294" s="2" t="s">
        <v>95</v>
      </c>
      <c r="B294" s="3">
        <v>45658</v>
      </c>
      <c r="C294" s="2" t="s">
        <v>27</v>
      </c>
      <c r="D294" s="2" t="s">
        <v>18</v>
      </c>
      <c r="E294" s="2">
        <v>51996.32</v>
      </c>
      <c r="F294" s="2">
        <v>3834</v>
      </c>
      <c r="G294" s="2">
        <v>9.6000000000000002E-2</v>
      </c>
      <c r="H294" s="2">
        <v>8</v>
      </c>
      <c r="I294" s="2">
        <v>86.7</v>
      </c>
      <c r="J294" s="2">
        <v>6.04</v>
      </c>
      <c r="K294" s="2">
        <v>0</v>
      </c>
      <c r="L294" s="2">
        <v>4.5</v>
      </c>
      <c r="M294" s="2">
        <v>546223.69999999995</v>
      </c>
      <c r="N294" s="2">
        <v>100769.17</v>
      </c>
    </row>
    <row r="295" spans="1:14" ht="15.75" customHeight="1">
      <c r="A295" s="2" t="s">
        <v>95</v>
      </c>
      <c r="B295" s="3">
        <v>45689</v>
      </c>
      <c r="C295" s="2" t="s">
        <v>27</v>
      </c>
      <c r="D295" s="2" t="s">
        <v>18</v>
      </c>
      <c r="E295" s="2">
        <v>40102.879999999997</v>
      </c>
      <c r="F295" s="2">
        <v>2358</v>
      </c>
      <c r="G295" s="2">
        <v>0.11899999999999999</v>
      </c>
      <c r="H295" s="2">
        <v>9</v>
      </c>
      <c r="I295" s="2">
        <v>88.7</v>
      </c>
      <c r="J295" s="2">
        <v>1.6</v>
      </c>
      <c r="K295" s="2">
        <v>0</v>
      </c>
      <c r="L295" s="2">
        <v>4.2</v>
      </c>
      <c r="M295" s="2">
        <v>533121.26</v>
      </c>
      <c r="N295" s="2">
        <v>55063.39</v>
      </c>
    </row>
    <row r="296" spans="1:14" ht="15.75" customHeight="1">
      <c r="A296" s="2" t="s">
        <v>95</v>
      </c>
      <c r="B296" s="3">
        <v>45717</v>
      </c>
      <c r="C296" s="2" t="s">
        <v>27</v>
      </c>
      <c r="D296" s="2" t="s">
        <v>18</v>
      </c>
      <c r="E296" s="2">
        <v>59825.51</v>
      </c>
      <c r="F296" s="2">
        <v>1231</v>
      </c>
      <c r="G296" s="2">
        <v>0.214</v>
      </c>
      <c r="H296" s="2">
        <v>10</v>
      </c>
      <c r="I296" s="2">
        <v>84.8</v>
      </c>
      <c r="J296" s="2">
        <v>8.9600000000000009</v>
      </c>
      <c r="K296" s="2">
        <v>0</v>
      </c>
      <c r="L296" s="2">
        <v>4.7</v>
      </c>
      <c r="M296" s="2">
        <v>498970.32</v>
      </c>
      <c r="N296" s="2">
        <v>69656.7</v>
      </c>
    </row>
    <row r="297" spans="1:14" ht="15.75" customHeight="1">
      <c r="A297" s="2" t="s">
        <v>95</v>
      </c>
      <c r="B297" s="3">
        <v>45748</v>
      </c>
      <c r="C297" s="2" t="s">
        <v>27</v>
      </c>
      <c r="D297" s="2" t="s">
        <v>18</v>
      </c>
      <c r="E297" s="2">
        <v>27398.28</v>
      </c>
      <c r="F297" s="2">
        <v>1723</v>
      </c>
      <c r="G297" s="2">
        <v>0.17100000000000001</v>
      </c>
      <c r="H297" s="2">
        <v>9</v>
      </c>
      <c r="I297" s="2">
        <v>81</v>
      </c>
      <c r="J297" s="2">
        <v>0.74</v>
      </c>
      <c r="K297" s="2">
        <v>0</v>
      </c>
      <c r="L297" s="2">
        <v>4.5999999999999996</v>
      </c>
      <c r="M297" s="2">
        <v>487738.26</v>
      </c>
      <c r="N297" s="2">
        <v>96435.6</v>
      </c>
    </row>
    <row r="298" spans="1:14" ht="15.75" customHeight="1">
      <c r="A298" s="2" t="s">
        <v>96</v>
      </c>
      <c r="B298" s="3">
        <v>45658</v>
      </c>
      <c r="C298" s="2" t="s">
        <v>27</v>
      </c>
      <c r="D298" s="2" t="s">
        <v>18</v>
      </c>
      <c r="E298" s="2">
        <v>55599.56</v>
      </c>
      <c r="F298" s="2">
        <v>5896</v>
      </c>
      <c r="G298" s="2">
        <v>3.5999999999999997E-2</v>
      </c>
      <c r="H298" s="2">
        <v>12</v>
      </c>
      <c r="I298" s="2">
        <v>93.1</v>
      </c>
      <c r="J298" s="2">
        <v>6.13</v>
      </c>
      <c r="K298" s="2">
        <v>0</v>
      </c>
      <c r="L298" s="2">
        <v>3.3</v>
      </c>
      <c r="M298" s="2">
        <v>668459.37</v>
      </c>
      <c r="N298" s="2">
        <v>126435.42</v>
      </c>
    </row>
    <row r="299" spans="1:14" ht="15.75" customHeight="1">
      <c r="A299" s="2" t="s">
        <v>96</v>
      </c>
      <c r="B299" s="3">
        <v>45689</v>
      </c>
      <c r="C299" s="2" t="s">
        <v>27</v>
      </c>
      <c r="D299" s="2" t="s">
        <v>18</v>
      </c>
      <c r="E299" s="2">
        <v>55477.61</v>
      </c>
      <c r="F299" s="2">
        <v>5903</v>
      </c>
      <c r="G299" s="2">
        <v>0.10199999999999999</v>
      </c>
      <c r="H299" s="2">
        <v>14</v>
      </c>
      <c r="I299" s="2">
        <v>96.2</v>
      </c>
      <c r="J299" s="2">
        <v>1.41</v>
      </c>
      <c r="K299" s="2">
        <v>0</v>
      </c>
      <c r="L299" s="2">
        <v>3.3</v>
      </c>
      <c r="M299" s="2">
        <v>763162.45</v>
      </c>
      <c r="N299" s="2">
        <v>162524.04999999999</v>
      </c>
    </row>
    <row r="300" spans="1:14" ht="15.75" customHeight="1">
      <c r="A300" s="2" t="s">
        <v>96</v>
      </c>
      <c r="B300" s="3">
        <v>45717</v>
      </c>
      <c r="C300" s="2" t="s">
        <v>27</v>
      </c>
      <c r="D300" s="2" t="s">
        <v>18</v>
      </c>
      <c r="E300" s="2">
        <v>46174.7</v>
      </c>
      <c r="F300" s="2">
        <v>4898</v>
      </c>
      <c r="G300" s="2">
        <v>0.114</v>
      </c>
      <c r="H300" s="2">
        <v>11</v>
      </c>
      <c r="I300" s="2">
        <v>91.7</v>
      </c>
      <c r="J300" s="2">
        <v>3.75</v>
      </c>
      <c r="K300" s="2">
        <v>0</v>
      </c>
      <c r="L300" s="2">
        <v>3.1</v>
      </c>
      <c r="M300" s="2">
        <v>599017.32999999996</v>
      </c>
      <c r="N300" s="2">
        <v>134009.92000000001</v>
      </c>
    </row>
    <row r="301" spans="1:14" ht="15.75" customHeight="1">
      <c r="A301" s="2" t="s">
        <v>96</v>
      </c>
      <c r="B301" s="3">
        <v>45748</v>
      </c>
      <c r="C301" s="2" t="s">
        <v>27</v>
      </c>
      <c r="D301" s="2" t="s">
        <v>18</v>
      </c>
      <c r="E301" s="2">
        <v>24362.98</v>
      </c>
      <c r="F301" s="2">
        <v>1462</v>
      </c>
      <c r="G301" s="2">
        <v>0.11700000000000001</v>
      </c>
      <c r="H301" s="2">
        <v>6</v>
      </c>
      <c r="I301" s="2">
        <v>89.3</v>
      </c>
      <c r="J301" s="2">
        <v>15.06</v>
      </c>
      <c r="K301" s="2">
        <v>0</v>
      </c>
      <c r="L301" s="2">
        <v>3.2</v>
      </c>
      <c r="M301" s="2">
        <v>401582.58</v>
      </c>
      <c r="N301" s="2">
        <v>68454.929999999993</v>
      </c>
    </row>
    <row r="302" spans="1:14" ht="15.75" customHeight="1">
      <c r="A302" s="2" t="s">
        <v>97</v>
      </c>
      <c r="B302" s="3">
        <v>45658</v>
      </c>
      <c r="C302" s="2" t="s">
        <v>20</v>
      </c>
      <c r="D302" s="2" t="s">
        <v>28</v>
      </c>
      <c r="E302" s="2">
        <v>40647.67</v>
      </c>
      <c r="F302" s="2">
        <v>8252</v>
      </c>
      <c r="G302" s="2">
        <v>0.14099999999999999</v>
      </c>
      <c r="H302" s="2">
        <v>22</v>
      </c>
      <c r="I302" s="2">
        <v>88.2</v>
      </c>
      <c r="J302" s="2">
        <v>5.07</v>
      </c>
      <c r="K302" s="2">
        <v>1</v>
      </c>
      <c r="L302" s="2">
        <v>4.0999999999999996</v>
      </c>
      <c r="M302" s="2">
        <v>703812.99</v>
      </c>
      <c r="N302" s="2">
        <v>133577.98000000001</v>
      </c>
    </row>
    <row r="303" spans="1:14" ht="15.75" customHeight="1">
      <c r="A303" s="2" t="s">
        <v>97</v>
      </c>
      <c r="B303" s="3">
        <v>45689</v>
      </c>
      <c r="C303" s="2" t="s">
        <v>20</v>
      </c>
      <c r="D303" s="2" t="s">
        <v>28</v>
      </c>
      <c r="E303" s="2">
        <v>63986.98</v>
      </c>
      <c r="F303" s="2">
        <v>7989</v>
      </c>
      <c r="G303" s="2">
        <v>7.3999999999999996E-2</v>
      </c>
      <c r="H303" s="2">
        <v>20</v>
      </c>
      <c r="I303" s="2">
        <v>83.3</v>
      </c>
      <c r="J303" s="2">
        <v>3.6</v>
      </c>
      <c r="K303" s="2">
        <v>0</v>
      </c>
      <c r="L303" s="2">
        <v>3.7</v>
      </c>
      <c r="M303" s="2">
        <v>724346.73</v>
      </c>
      <c r="N303" s="2">
        <v>155013.91</v>
      </c>
    </row>
    <row r="304" spans="1:14" ht="15.75" customHeight="1">
      <c r="A304" s="2" t="s">
        <v>97</v>
      </c>
      <c r="B304" s="3">
        <v>45717</v>
      </c>
      <c r="C304" s="2" t="s">
        <v>20</v>
      </c>
      <c r="D304" s="2" t="s">
        <v>28</v>
      </c>
      <c r="E304" s="2">
        <v>52843.75</v>
      </c>
      <c r="F304" s="2">
        <v>8268</v>
      </c>
      <c r="G304" s="2">
        <v>0.13800000000000001</v>
      </c>
      <c r="H304" s="2">
        <v>19</v>
      </c>
      <c r="I304" s="2">
        <v>87.3</v>
      </c>
      <c r="J304" s="2">
        <v>4.3899999999999997</v>
      </c>
      <c r="K304" s="2">
        <v>1</v>
      </c>
      <c r="L304" s="2">
        <v>4.7</v>
      </c>
      <c r="M304" s="2">
        <v>730890.01</v>
      </c>
      <c r="N304" s="2">
        <v>105502.56</v>
      </c>
    </row>
    <row r="305" spans="1:14" ht="15.75" customHeight="1">
      <c r="A305" s="2" t="s">
        <v>97</v>
      </c>
      <c r="B305" s="3">
        <v>45748</v>
      </c>
      <c r="C305" s="2" t="s">
        <v>20</v>
      </c>
      <c r="D305" s="2" t="s">
        <v>28</v>
      </c>
      <c r="E305" s="2">
        <v>31997.25</v>
      </c>
      <c r="F305" s="2">
        <v>8183</v>
      </c>
      <c r="G305" s="2">
        <v>0.19800000000000001</v>
      </c>
      <c r="H305" s="2">
        <v>18</v>
      </c>
      <c r="I305" s="2">
        <v>93</v>
      </c>
      <c r="J305" s="2">
        <v>2.79</v>
      </c>
      <c r="K305" s="2">
        <v>0</v>
      </c>
      <c r="L305" s="2">
        <v>4.2</v>
      </c>
      <c r="M305" s="2">
        <v>780580.95</v>
      </c>
      <c r="N305" s="2">
        <v>138144.46</v>
      </c>
    </row>
    <row r="306" spans="1:14" ht="15.75" customHeight="1">
      <c r="A306" s="2" t="s">
        <v>98</v>
      </c>
      <c r="B306" s="3">
        <v>45658</v>
      </c>
      <c r="C306" s="2" t="s">
        <v>24</v>
      </c>
      <c r="D306" s="2" t="s">
        <v>16</v>
      </c>
      <c r="E306" s="2">
        <v>54948.02</v>
      </c>
      <c r="F306" s="2">
        <v>6534</v>
      </c>
      <c r="G306" s="2">
        <v>0.183</v>
      </c>
      <c r="H306" s="2">
        <v>14</v>
      </c>
      <c r="I306" s="2">
        <v>94.5</v>
      </c>
      <c r="J306" s="2">
        <v>1.56</v>
      </c>
      <c r="K306" s="2">
        <v>0</v>
      </c>
      <c r="L306" s="2">
        <v>4</v>
      </c>
      <c r="M306" s="2">
        <v>727957.48</v>
      </c>
      <c r="N306" s="2">
        <v>74805.23</v>
      </c>
    </row>
    <row r="307" spans="1:14" ht="15.75" customHeight="1">
      <c r="A307" s="2" t="s">
        <v>98</v>
      </c>
      <c r="B307" s="3">
        <v>45689</v>
      </c>
      <c r="C307" s="2" t="s">
        <v>24</v>
      </c>
      <c r="D307" s="2" t="s">
        <v>16</v>
      </c>
      <c r="E307" s="2">
        <v>46146.239999999998</v>
      </c>
      <c r="F307" s="2">
        <v>5804</v>
      </c>
      <c r="G307" s="2">
        <v>4.7E-2</v>
      </c>
      <c r="H307" s="2">
        <v>16</v>
      </c>
      <c r="I307" s="2">
        <v>86.9</v>
      </c>
      <c r="J307" s="2">
        <v>15.82</v>
      </c>
      <c r="K307" s="2">
        <v>0</v>
      </c>
      <c r="L307" s="2">
        <v>3.8</v>
      </c>
      <c r="M307" s="2">
        <v>538376</v>
      </c>
      <c r="N307" s="2">
        <v>87605.62</v>
      </c>
    </row>
    <row r="308" spans="1:14" ht="15.75" customHeight="1">
      <c r="A308" s="2" t="s">
        <v>98</v>
      </c>
      <c r="B308" s="3">
        <v>45717</v>
      </c>
      <c r="C308" s="2" t="s">
        <v>24</v>
      </c>
      <c r="D308" s="2" t="s">
        <v>16</v>
      </c>
      <c r="E308" s="2">
        <v>22387.26</v>
      </c>
      <c r="F308" s="2">
        <v>6301</v>
      </c>
      <c r="G308" s="2">
        <v>0.14599999999999999</v>
      </c>
      <c r="H308" s="2">
        <v>14</v>
      </c>
      <c r="I308" s="2">
        <v>85.9</v>
      </c>
      <c r="J308" s="2">
        <v>1.17</v>
      </c>
      <c r="K308" s="2">
        <v>1</v>
      </c>
      <c r="L308" s="2">
        <v>3.7</v>
      </c>
      <c r="M308" s="2">
        <v>665342.49</v>
      </c>
      <c r="N308" s="2">
        <v>93441.81</v>
      </c>
    </row>
    <row r="309" spans="1:14" ht="15.75" customHeight="1">
      <c r="A309" s="2" t="s">
        <v>98</v>
      </c>
      <c r="B309" s="3">
        <v>45748</v>
      </c>
      <c r="C309" s="2" t="s">
        <v>24</v>
      </c>
      <c r="D309" s="2" t="s">
        <v>16</v>
      </c>
      <c r="E309" s="2">
        <v>60684.05</v>
      </c>
      <c r="F309" s="2">
        <v>6399</v>
      </c>
      <c r="G309" s="2">
        <v>7.4999999999999997E-2</v>
      </c>
      <c r="H309" s="2">
        <v>16</v>
      </c>
      <c r="I309" s="2">
        <v>99</v>
      </c>
      <c r="J309" s="2">
        <v>3.82</v>
      </c>
      <c r="K309" s="2">
        <v>0</v>
      </c>
      <c r="L309" s="2">
        <v>3.5</v>
      </c>
      <c r="M309" s="2">
        <v>651164.18000000005</v>
      </c>
      <c r="N309" s="2">
        <v>109466.5</v>
      </c>
    </row>
    <row r="310" spans="1:14" ht="15.75" customHeight="1">
      <c r="A310" s="2" t="s">
        <v>99</v>
      </c>
      <c r="B310" s="3">
        <v>45658</v>
      </c>
      <c r="C310" s="2" t="s">
        <v>24</v>
      </c>
      <c r="D310" s="2" t="s">
        <v>18</v>
      </c>
      <c r="E310" s="2">
        <v>48465.599999999999</v>
      </c>
      <c r="F310" s="2">
        <v>5759</v>
      </c>
      <c r="G310" s="2">
        <v>0.154</v>
      </c>
      <c r="H310" s="2">
        <v>13</v>
      </c>
      <c r="I310" s="2">
        <v>87.5</v>
      </c>
      <c r="J310" s="2">
        <v>4.1399999999999997</v>
      </c>
      <c r="K310" s="2">
        <v>0</v>
      </c>
      <c r="L310" s="2">
        <v>4</v>
      </c>
      <c r="M310" s="2">
        <v>628538.30000000005</v>
      </c>
      <c r="N310" s="2">
        <v>112509.15</v>
      </c>
    </row>
    <row r="311" spans="1:14" ht="15.75" customHeight="1">
      <c r="A311" s="2" t="s">
        <v>99</v>
      </c>
      <c r="B311" s="3">
        <v>45689</v>
      </c>
      <c r="C311" s="2" t="s">
        <v>24</v>
      </c>
      <c r="D311" s="2" t="s">
        <v>18</v>
      </c>
      <c r="E311" s="2">
        <v>23702.38</v>
      </c>
      <c r="F311" s="2">
        <v>5285</v>
      </c>
      <c r="G311" s="2">
        <v>0.16700000000000001</v>
      </c>
      <c r="H311" s="2">
        <v>14</v>
      </c>
      <c r="I311" s="2">
        <v>79.7</v>
      </c>
      <c r="J311" s="2">
        <v>1.1000000000000001</v>
      </c>
      <c r="K311" s="2">
        <v>0</v>
      </c>
      <c r="L311" s="2">
        <v>4.3</v>
      </c>
      <c r="M311" s="2">
        <v>536524.84</v>
      </c>
      <c r="N311" s="2">
        <v>92752.94</v>
      </c>
    </row>
    <row r="312" spans="1:14" ht="15.75" customHeight="1">
      <c r="A312" s="2" t="s">
        <v>99</v>
      </c>
      <c r="B312" s="3">
        <v>45717</v>
      </c>
      <c r="C312" s="2" t="s">
        <v>24</v>
      </c>
      <c r="D312" s="2" t="s">
        <v>18</v>
      </c>
      <c r="E312" s="2">
        <v>54322.94</v>
      </c>
      <c r="F312" s="2">
        <v>5434</v>
      </c>
      <c r="G312" s="2">
        <v>0.2</v>
      </c>
      <c r="H312" s="2">
        <v>13</v>
      </c>
      <c r="I312" s="2">
        <v>85.7</v>
      </c>
      <c r="J312" s="2">
        <v>10.6</v>
      </c>
      <c r="K312" s="2">
        <v>0</v>
      </c>
      <c r="L312" s="2">
        <v>4.2</v>
      </c>
      <c r="M312" s="2">
        <v>621677.30000000005</v>
      </c>
      <c r="N312" s="2">
        <v>105192.52</v>
      </c>
    </row>
    <row r="313" spans="1:14" ht="15.75" customHeight="1">
      <c r="A313" s="2" t="s">
        <v>99</v>
      </c>
      <c r="B313" s="3">
        <v>45748</v>
      </c>
      <c r="C313" s="2" t="s">
        <v>24</v>
      </c>
      <c r="D313" s="2" t="s">
        <v>18</v>
      </c>
      <c r="E313" s="2">
        <v>86026.58</v>
      </c>
      <c r="F313" s="2">
        <v>7479</v>
      </c>
      <c r="G313" s="2">
        <v>0.14199999999999999</v>
      </c>
      <c r="H313" s="2">
        <v>20</v>
      </c>
      <c r="I313" s="2">
        <v>89</v>
      </c>
      <c r="J313" s="2">
        <v>0.9</v>
      </c>
      <c r="K313" s="2">
        <v>0</v>
      </c>
      <c r="L313" s="2"/>
      <c r="M313" s="2">
        <v>771129.07</v>
      </c>
      <c r="N313" s="2">
        <v>116851.13</v>
      </c>
    </row>
    <row r="314" spans="1:14" ht="15.75" customHeight="1">
      <c r="A314" s="2" t="s">
        <v>100</v>
      </c>
      <c r="B314" s="3">
        <v>45658</v>
      </c>
      <c r="C314" s="2" t="s">
        <v>20</v>
      </c>
      <c r="D314" s="2" t="s">
        <v>16</v>
      </c>
      <c r="E314" s="2">
        <v>78967.520000000004</v>
      </c>
      <c r="F314" s="2">
        <v>6164</v>
      </c>
      <c r="G314" s="2">
        <v>2.1000000000000001E-2</v>
      </c>
      <c r="H314" s="2">
        <v>16</v>
      </c>
      <c r="I314" s="2">
        <v>85.5</v>
      </c>
      <c r="J314" s="2">
        <v>0.2</v>
      </c>
      <c r="K314" s="2">
        <v>0</v>
      </c>
      <c r="L314" s="2">
        <v>3.4</v>
      </c>
      <c r="M314" s="2">
        <v>702052.47</v>
      </c>
      <c r="N314" s="2">
        <v>121732.51</v>
      </c>
    </row>
    <row r="315" spans="1:14" ht="15.75" customHeight="1">
      <c r="A315" s="2" t="s">
        <v>100</v>
      </c>
      <c r="B315" s="3">
        <v>45689</v>
      </c>
      <c r="C315" s="2" t="s">
        <v>20</v>
      </c>
      <c r="D315" s="2" t="s">
        <v>16</v>
      </c>
      <c r="E315" s="2">
        <v>46767.99</v>
      </c>
      <c r="F315" s="2">
        <v>7973</v>
      </c>
      <c r="G315" s="2">
        <v>0.183</v>
      </c>
      <c r="H315" s="2">
        <v>18</v>
      </c>
      <c r="I315" s="2">
        <v>94.8</v>
      </c>
      <c r="J315" s="2">
        <v>4.67</v>
      </c>
      <c r="K315" s="2">
        <v>0</v>
      </c>
      <c r="L315" s="2"/>
      <c r="M315" s="2">
        <v>688368.46</v>
      </c>
      <c r="N315" s="2">
        <v>93588.42</v>
      </c>
    </row>
    <row r="316" spans="1:14" ht="15.75" customHeight="1">
      <c r="A316" s="2" t="s">
        <v>100</v>
      </c>
      <c r="B316" s="3">
        <v>45717</v>
      </c>
      <c r="C316" s="2" t="s">
        <v>20</v>
      </c>
      <c r="D316" s="2" t="s">
        <v>16</v>
      </c>
      <c r="E316" s="2">
        <v>62507.16</v>
      </c>
      <c r="F316" s="2">
        <v>6000</v>
      </c>
      <c r="G316" s="2">
        <v>9.0999999999999998E-2</v>
      </c>
      <c r="H316" s="2">
        <v>14</v>
      </c>
      <c r="I316" s="2">
        <v>98.2</v>
      </c>
      <c r="J316" s="2">
        <v>4.38</v>
      </c>
      <c r="K316" s="2">
        <v>1</v>
      </c>
      <c r="L316" s="2">
        <v>3.9</v>
      </c>
      <c r="M316" s="2">
        <v>712375.77</v>
      </c>
      <c r="N316" s="2">
        <v>104171.53</v>
      </c>
    </row>
    <row r="317" spans="1:14" ht="15.75" customHeight="1">
      <c r="A317" s="2" t="s">
        <v>100</v>
      </c>
      <c r="B317" s="3">
        <v>45748</v>
      </c>
      <c r="C317" s="2" t="s">
        <v>20</v>
      </c>
      <c r="D317" s="2" t="s">
        <v>16</v>
      </c>
      <c r="E317" s="2">
        <v>66456.28</v>
      </c>
      <c r="F317" s="2">
        <v>9967</v>
      </c>
      <c r="G317" s="2">
        <v>0.108</v>
      </c>
      <c r="H317" s="2">
        <v>20</v>
      </c>
      <c r="I317" s="2">
        <v>94.7</v>
      </c>
      <c r="J317" s="2">
        <v>4.4800000000000004</v>
      </c>
      <c r="K317" s="2">
        <v>0</v>
      </c>
      <c r="L317" s="2">
        <v>4.2</v>
      </c>
      <c r="M317" s="2">
        <v>844710.67</v>
      </c>
      <c r="N317" s="2">
        <v>137140.18</v>
      </c>
    </row>
    <row r="318" spans="1:14" ht="15.75" customHeight="1">
      <c r="A318" s="2" t="s">
        <v>101</v>
      </c>
      <c r="B318" s="3">
        <v>45658</v>
      </c>
      <c r="C318" s="2" t="s">
        <v>15</v>
      </c>
      <c r="D318" s="2" t="s">
        <v>16</v>
      </c>
      <c r="E318" s="2">
        <v>76614.320000000007</v>
      </c>
      <c r="F318" s="2">
        <v>5639</v>
      </c>
      <c r="G318" s="2">
        <v>0.17399999999999999</v>
      </c>
      <c r="H318" s="2">
        <v>15</v>
      </c>
      <c r="I318" s="2">
        <v>92.9</v>
      </c>
      <c r="J318" s="2">
        <v>1.02</v>
      </c>
      <c r="K318" s="2">
        <v>1</v>
      </c>
      <c r="L318" s="2">
        <v>4</v>
      </c>
      <c r="M318" s="2">
        <v>620264.19999999995</v>
      </c>
      <c r="N318" s="2">
        <v>91365.64</v>
      </c>
    </row>
    <row r="319" spans="1:14" ht="15.75" customHeight="1">
      <c r="A319" s="2" t="s">
        <v>101</v>
      </c>
      <c r="B319" s="3">
        <v>45689</v>
      </c>
      <c r="C319" s="2" t="s">
        <v>15</v>
      </c>
      <c r="D319" s="2" t="s">
        <v>16</v>
      </c>
      <c r="E319" s="2">
        <v>24088.06</v>
      </c>
      <c r="F319" s="2">
        <v>3466</v>
      </c>
      <c r="G319" s="2">
        <v>0</v>
      </c>
      <c r="H319" s="2">
        <v>11</v>
      </c>
      <c r="I319" s="2">
        <v>88</v>
      </c>
      <c r="J319" s="2">
        <v>0.2</v>
      </c>
      <c r="K319" s="2">
        <v>0</v>
      </c>
      <c r="L319" s="2">
        <v>3.8</v>
      </c>
      <c r="M319" s="2">
        <v>536845.42000000004</v>
      </c>
      <c r="N319" s="2">
        <v>107473.75</v>
      </c>
    </row>
    <row r="320" spans="1:14" ht="15.75" customHeight="1">
      <c r="A320" s="2" t="s">
        <v>101</v>
      </c>
      <c r="B320" s="3">
        <v>45717</v>
      </c>
      <c r="C320" s="2" t="s">
        <v>15</v>
      </c>
      <c r="D320" s="2" t="s">
        <v>16</v>
      </c>
      <c r="E320" s="2">
        <v>81902.58</v>
      </c>
      <c r="F320" s="2">
        <v>7775</v>
      </c>
      <c r="G320" s="2">
        <v>0.215</v>
      </c>
      <c r="H320" s="2">
        <v>20</v>
      </c>
      <c r="I320" s="2">
        <v>85.2</v>
      </c>
      <c r="J320" s="2">
        <v>4.8899999999999997</v>
      </c>
      <c r="K320" s="2">
        <v>1</v>
      </c>
      <c r="L320" s="2">
        <v>4.2</v>
      </c>
      <c r="M320" s="2">
        <v>726776.22</v>
      </c>
      <c r="N320" s="2">
        <v>90804.49</v>
      </c>
    </row>
    <row r="321" spans="1:14" ht="15.75" customHeight="1">
      <c r="A321" s="2" t="s">
        <v>101</v>
      </c>
      <c r="B321" s="3">
        <v>45748</v>
      </c>
      <c r="C321" s="2" t="s">
        <v>15</v>
      </c>
      <c r="D321" s="2" t="s">
        <v>16</v>
      </c>
      <c r="E321" s="2">
        <v>40553.11</v>
      </c>
      <c r="F321" s="2">
        <v>5317</v>
      </c>
      <c r="G321" s="2">
        <v>0.16500000000000001</v>
      </c>
      <c r="H321" s="2">
        <v>17</v>
      </c>
      <c r="I321" s="2">
        <v>84.3</v>
      </c>
      <c r="J321" s="2">
        <v>11.82</v>
      </c>
      <c r="K321" s="2">
        <v>0</v>
      </c>
      <c r="L321" s="2">
        <v>4.0999999999999996</v>
      </c>
      <c r="M321" s="2">
        <v>559660.84</v>
      </c>
      <c r="N321" s="2">
        <v>71443.61</v>
      </c>
    </row>
    <row r="322" spans="1:14" ht="15.75" customHeight="1"/>
    <row r="323" spans="1:14" ht="15.75" customHeight="1"/>
    <row r="324" spans="1:14" ht="15.75" customHeight="1"/>
    <row r="325" spans="1:14" ht="15.75" customHeight="1"/>
    <row r="326" spans="1:14" ht="15.75" customHeight="1"/>
    <row r="327" spans="1:14" ht="15.75" customHeight="1"/>
    <row r="328" spans="1:14" ht="15.75" customHeight="1"/>
    <row r="329" spans="1:14" ht="15.75" customHeight="1"/>
    <row r="330" spans="1:14" ht="15.75" customHeight="1"/>
    <row r="331" spans="1:14" ht="15.75" customHeight="1"/>
    <row r="332" spans="1:14" ht="15.75" customHeight="1"/>
    <row r="333" spans="1:14" ht="15.75" customHeight="1"/>
    <row r="334" spans="1:14" ht="15.75" customHeight="1"/>
    <row r="335" spans="1:14" ht="15.75" customHeight="1"/>
    <row r="336" spans="1:14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N321"/>
  <sheetViews>
    <sheetView workbookViewId="0">
      <pane ySplit="1" topLeftCell="A2" activePane="bottomLeft" state="frozen"/>
      <selection pane="bottomLeft" activeCell="B3" sqref="B3"/>
    </sheetView>
  </sheetViews>
  <sheetFormatPr defaultColWidth="12.625" defaultRowHeight="15" customHeight="1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3">
        <v>45658</v>
      </c>
      <c r="C2" s="2" t="s">
        <v>15</v>
      </c>
      <c r="D2" s="2" t="s">
        <v>16</v>
      </c>
      <c r="E2" s="2">
        <v>70389.11</v>
      </c>
      <c r="F2" s="2">
        <v>8302</v>
      </c>
      <c r="G2" s="2">
        <v>4.2000000000000003E-2</v>
      </c>
      <c r="H2" s="2">
        <v>17</v>
      </c>
      <c r="I2" s="2">
        <v>75</v>
      </c>
      <c r="J2" s="2">
        <v>5.28</v>
      </c>
      <c r="K2" s="2">
        <v>1</v>
      </c>
      <c r="L2" s="2">
        <v>3.1</v>
      </c>
      <c r="M2" s="2">
        <v>658832.62</v>
      </c>
      <c r="N2" s="2">
        <v>84349.93</v>
      </c>
    </row>
    <row r="3" spans="1:14">
      <c r="A3" s="2" t="s">
        <v>14</v>
      </c>
      <c r="B3" s="3">
        <v>45689</v>
      </c>
      <c r="C3" s="2" t="s">
        <v>15</v>
      </c>
      <c r="D3" s="2" t="s">
        <v>16</v>
      </c>
      <c r="E3" s="2">
        <v>43827.89</v>
      </c>
      <c r="F3" s="2">
        <v>8487</v>
      </c>
      <c r="G3" s="2">
        <v>0.16800000000000001</v>
      </c>
      <c r="H3" s="2">
        <v>23</v>
      </c>
      <c r="I3" s="2">
        <v>84.4</v>
      </c>
      <c r="J3" s="2">
        <v>4.3099999999999996</v>
      </c>
      <c r="K3" s="2">
        <v>0</v>
      </c>
      <c r="L3" s="2">
        <v>2.8</v>
      </c>
      <c r="M3" s="2">
        <v>634436</v>
      </c>
      <c r="N3" s="2">
        <v>106130.54</v>
      </c>
    </row>
    <row r="4" spans="1:14">
      <c r="A4" s="2" t="s">
        <v>14</v>
      </c>
      <c r="B4" s="3">
        <v>45717</v>
      </c>
      <c r="C4" s="2" t="s">
        <v>15</v>
      </c>
      <c r="D4" s="2" t="s">
        <v>16</v>
      </c>
      <c r="E4" s="2">
        <v>59921.75</v>
      </c>
      <c r="F4" s="2">
        <v>9113</v>
      </c>
      <c r="G4" s="2">
        <v>0.13300000000000001</v>
      </c>
      <c r="H4" s="2">
        <v>20</v>
      </c>
      <c r="I4" s="2">
        <v>88</v>
      </c>
      <c r="J4" s="2">
        <v>12</v>
      </c>
      <c r="K4" s="2">
        <v>0</v>
      </c>
      <c r="L4" s="2">
        <v>3.2</v>
      </c>
      <c r="M4" s="2">
        <v>678722.06</v>
      </c>
      <c r="N4" s="2">
        <v>101883.86</v>
      </c>
    </row>
    <row r="5" spans="1:14">
      <c r="A5" s="2" t="s">
        <v>14</v>
      </c>
      <c r="B5" s="3">
        <v>45748</v>
      </c>
      <c r="C5" s="2" t="s">
        <v>15</v>
      </c>
      <c r="D5" s="2" t="s">
        <v>16</v>
      </c>
      <c r="E5" s="2">
        <v>56856.63</v>
      </c>
      <c r="F5" s="2">
        <v>9431</v>
      </c>
      <c r="G5" s="2">
        <v>0.14199999999999999</v>
      </c>
      <c r="H5" s="2">
        <v>23</v>
      </c>
      <c r="I5" s="2">
        <v>86.9</v>
      </c>
      <c r="J5" s="2">
        <v>4.97</v>
      </c>
      <c r="K5" s="2">
        <v>0</v>
      </c>
      <c r="L5" s="2">
        <v>3.4</v>
      </c>
      <c r="M5" s="2">
        <v>658920.30000000005</v>
      </c>
      <c r="N5" s="2">
        <v>97910.37</v>
      </c>
    </row>
    <row r="6" spans="1:14">
      <c r="A6" s="2" t="s">
        <v>17</v>
      </c>
      <c r="B6" s="3">
        <v>45658</v>
      </c>
      <c r="C6" s="2" t="s">
        <v>15</v>
      </c>
      <c r="D6" s="2" t="s">
        <v>18</v>
      </c>
      <c r="E6" s="2">
        <v>48412.639999999999</v>
      </c>
      <c r="F6" s="2">
        <v>9545</v>
      </c>
      <c r="G6" s="2">
        <v>0.23100000000000001</v>
      </c>
      <c r="H6" s="2">
        <v>21</v>
      </c>
      <c r="I6" s="2">
        <v>97.6</v>
      </c>
      <c r="J6" s="2">
        <v>6.94</v>
      </c>
      <c r="K6" s="2">
        <v>1</v>
      </c>
      <c r="L6" s="2">
        <v>4.2</v>
      </c>
      <c r="M6" s="2">
        <v>741341.44</v>
      </c>
      <c r="N6" s="2">
        <v>119208.17</v>
      </c>
    </row>
    <row r="7" spans="1:14">
      <c r="A7" s="2" t="s">
        <v>17</v>
      </c>
      <c r="B7" s="3">
        <v>45689</v>
      </c>
      <c r="C7" s="2" t="s">
        <v>15</v>
      </c>
      <c r="D7" s="2" t="s">
        <v>18</v>
      </c>
      <c r="E7" s="2">
        <v>64811.21</v>
      </c>
      <c r="F7" s="2">
        <v>9792</v>
      </c>
      <c r="G7" s="2">
        <v>0.112</v>
      </c>
      <c r="H7" s="2">
        <v>20</v>
      </c>
      <c r="I7" s="2">
        <v>84.2</v>
      </c>
      <c r="J7" s="2">
        <v>2.88</v>
      </c>
      <c r="K7" s="2">
        <v>0</v>
      </c>
      <c r="L7" s="2">
        <v>4.2</v>
      </c>
      <c r="M7" s="2">
        <v>761835.34</v>
      </c>
      <c r="N7" s="2">
        <v>149602.23000000001</v>
      </c>
    </row>
    <row r="8" spans="1:14">
      <c r="A8" s="2" t="s">
        <v>17</v>
      </c>
      <c r="B8" s="3">
        <v>45717</v>
      </c>
      <c r="C8" s="2" t="s">
        <v>15</v>
      </c>
      <c r="D8" s="2" t="s">
        <v>18</v>
      </c>
      <c r="E8" s="2">
        <v>46213.45</v>
      </c>
      <c r="F8" s="2">
        <v>10616</v>
      </c>
      <c r="G8" s="2">
        <v>0.122</v>
      </c>
      <c r="H8" s="2">
        <v>22</v>
      </c>
      <c r="I8" s="2">
        <v>85.2</v>
      </c>
      <c r="J8" s="2">
        <v>0.2</v>
      </c>
      <c r="K8" s="2">
        <v>1</v>
      </c>
      <c r="L8" s="2">
        <v>4.0999999999999996</v>
      </c>
      <c r="M8" s="2">
        <v>806615.54</v>
      </c>
      <c r="N8" s="2">
        <v>131364.62</v>
      </c>
    </row>
    <row r="9" spans="1:14">
      <c r="A9" s="2" t="s">
        <v>17</v>
      </c>
      <c r="B9" s="3">
        <v>45748</v>
      </c>
      <c r="C9" s="2" t="s">
        <v>15</v>
      </c>
      <c r="D9" s="2" t="s">
        <v>18</v>
      </c>
      <c r="E9" s="2">
        <v>68148.52</v>
      </c>
      <c r="F9" s="2">
        <v>8567</v>
      </c>
      <c r="G9" s="2">
        <v>0.127</v>
      </c>
      <c r="H9" s="2">
        <v>23</v>
      </c>
      <c r="I9" s="2">
        <v>95.6</v>
      </c>
      <c r="J9" s="2">
        <v>0.8</v>
      </c>
      <c r="K9" s="2">
        <v>0</v>
      </c>
      <c r="L9" s="2">
        <v>3.9</v>
      </c>
      <c r="M9" s="2">
        <v>850164.26</v>
      </c>
      <c r="N9" s="2">
        <v>149262.75</v>
      </c>
    </row>
    <row r="10" spans="1:14">
      <c r="A10" s="2" t="s">
        <v>19</v>
      </c>
      <c r="B10" s="3">
        <v>45658</v>
      </c>
      <c r="C10" s="2" t="s">
        <v>20</v>
      </c>
      <c r="D10" s="2" t="s">
        <v>21</v>
      </c>
      <c r="E10" s="2">
        <v>71838.86</v>
      </c>
      <c r="F10" s="2">
        <v>10979</v>
      </c>
      <c r="G10" s="2">
        <v>0.215</v>
      </c>
      <c r="H10" s="2">
        <v>26</v>
      </c>
      <c r="I10" s="2">
        <v>88.6</v>
      </c>
      <c r="J10" s="2">
        <v>7.7</v>
      </c>
      <c r="K10" s="2">
        <v>1</v>
      </c>
      <c r="L10" s="2">
        <v>3.8</v>
      </c>
      <c r="M10" s="2">
        <v>930581.7</v>
      </c>
      <c r="N10" s="2">
        <v>136207.98000000001</v>
      </c>
    </row>
    <row r="11" spans="1:14">
      <c r="A11" s="2" t="s">
        <v>19</v>
      </c>
      <c r="B11" s="3">
        <v>45689</v>
      </c>
      <c r="C11" s="2" t="s">
        <v>20</v>
      </c>
      <c r="D11" s="2" t="s">
        <v>21</v>
      </c>
      <c r="E11" s="2">
        <v>68133.440000000002</v>
      </c>
      <c r="F11" s="2">
        <v>9459</v>
      </c>
      <c r="G11" s="2">
        <v>0.22</v>
      </c>
      <c r="H11" s="2">
        <v>21</v>
      </c>
      <c r="I11" s="2">
        <v>85</v>
      </c>
      <c r="J11" s="2">
        <v>1.91</v>
      </c>
      <c r="K11" s="2">
        <v>0</v>
      </c>
      <c r="L11" s="2">
        <v>4.2</v>
      </c>
      <c r="M11" s="2">
        <v>779010.94</v>
      </c>
      <c r="N11" s="2">
        <v>106328.09</v>
      </c>
    </row>
    <row r="12" spans="1:14">
      <c r="A12" s="2" t="s">
        <v>19</v>
      </c>
      <c r="B12" s="3">
        <v>45717</v>
      </c>
      <c r="C12" s="2" t="s">
        <v>20</v>
      </c>
      <c r="D12" s="2" t="s">
        <v>21</v>
      </c>
      <c r="E12" s="2">
        <v>34285.21</v>
      </c>
      <c r="F12" s="2">
        <v>9172</v>
      </c>
      <c r="G12" s="2">
        <v>0.21299999999999999</v>
      </c>
      <c r="H12" s="2">
        <v>22</v>
      </c>
      <c r="I12" s="2">
        <v>88.3</v>
      </c>
      <c r="J12" s="2">
        <v>10.46</v>
      </c>
      <c r="K12" s="2">
        <v>1</v>
      </c>
      <c r="L12" s="2">
        <v>3.8</v>
      </c>
      <c r="M12" s="2">
        <v>723060.76</v>
      </c>
      <c r="N12" s="2">
        <v>123131.24</v>
      </c>
    </row>
    <row r="13" spans="1:14">
      <c r="A13" s="2" t="s">
        <v>19</v>
      </c>
      <c r="B13" s="3">
        <v>45748</v>
      </c>
      <c r="C13" s="2" t="s">
        <v>20</v>
      </c>
      <c r="D13" s="2" t="s">
        <v>21</v>
      </c>
      <c r="E13" s="2">
        <v>67979.88</v>
      </c>
      <c r="F13" s="2">
        <v>11230</v>
      </c>
      <c r="G13" s="2">
        <v>2E-3</v>
      </c>
      <c r="H13" s="2">
        <v>28</v>
      </c>
      <c r="I13" s="2">
        <v>85.3</v>
      </c>
      <c r="J13" s="2">
        <v>7.16</v>
      </c>
      <c r="K13" s="2">
        <v>0</v>
      </c>
      <c r="L13" s="2">
        <v>3.8</v>
      </c>
      <c r="M13" s="2">
        <v>910791.94</v>
      </c>
      <c r="N13" s="2">
        <v>158891.28</v>
      </c>
    </row>
    <row r="14" spans="1:14">
      <c r="A14" s="2" t="s">
        <v>22</v>
      </c>
      <c r="B14" s="3">
        <v>45658</v>
      </c>
      <c r="C14" s="2" t="s">
        <v>15</v>
      </c>
      <c r="D14" s="2" t="s">
        <v>16</v>
      </c>
      <c r="E14" s="2">
        <v>71828.259999999995</v>
      </c>
      <c r="F14" s="2">
        <v>12775</v>
      </c>
      <c r="G14" s="2">
        <v>0.11600000000000001</v>
      </c>
      <c r="H14" s="2">
        <v>30</v>
      </c>
      <c r="I14" s="2">
        <v>81.7</v>
      </c>
      <c r="J14" s="2">
        <v>4.24</v>
      </c>
      <c r="K14" s="2">
        <v>1</v>
      </c>
      <c r="L14" s="2">
        <v>4.2</v>
      </c>
      <c r="M14" s="2">
        <v>922168.6</v>
      </c>
      <c r="N14" s="2">
        <v>107494.53</v>
      </c>
    </row>
    <row r="15" spans="1:14">
      <c r="A15" s="2" t="s">
        <v>22</v>
      </c>
      <c r="B15" s="3">
        <v>45689</v>
      </c>
      <c r="C15" s="2" t="s">
        <v>15</v>
      </c>
      <c r="D15" s="2" t="s">
        <v>16</v>
      </c>
      <c r="E15" s="2">
        <v>55716.82</v>
      </c>
      <c r="F15" s="2">
        <v>10054</v>
      </c>
      <c r="G15" s="2">
        <v>0.14599999999999999</v>
      </c>
      <c r="H15" s="2">
        <v>24</v>
      </c>
      <c r="I15" s="2">
        <v>84.9</v>
      </c>
      <c r="J15" s="2">
        <v>1.06</v>
      </c>
      <c r="K15" s="2">
        <v>0</v>
      </c>
      <c r="L15" s="2">
        <v>4.3</v>
      </c>
      <c r="M15" s="2">
        <v>726606.28</v>
      </c>
      <c r="N15" s="2">
        <v>122729.29</v>
      </c>
    </row>
    <row r="16" spans="1:14">
      <c r="A16" s="2" t="s">
        <v>22</v>
      </c>
      <c r="B16" s="3">
        <v>45717</v>
      </c>
      <c r="C16" s="2" t="s">
        <v>15</v>
      </c>
      <c r="D16" s="2" t="s">
        <v>16</v>
      </c>
      <c r="E16" s="2">
        <v>59909.51</v>
      </c>
      <c r="F16" s="2">
        <v>8895</v>
      </c>
      <c r="G16" s="2">
        <v>0.22800000000000001</v>
      </c>
      <c r="H16" s="2">
        <v>23</v>
      </c>
      <c r="I16" s="2">
        <v>88.8</v>
      </c>
      <c r="J16" s="2">
        <v>0.27</v>
      </c>
      <c r="K16" s="2">
        <v>0</v>
      </c>
      <c r="L16" s="2">
        <v>4.3</v>
      </c>
      <c r="M16" s="2">
        <v>746501.09</v>
      </c>
      <c r="N16" s="2">
        <v>136816.72</v>
      </c>
    </row>
    <row r="17" spans="1:14">
      <c r="A17" s="2" t="s">
        <v>22</v>
      </c>
      <c r="B17" s="3">
        <v>45748</v>
      </c>
      <c r="C17" s="2" t="s">
        <v>15</v>
      </c>
      <c r="D17" s="2" t="s">
        <v>16</v>
      </c>
      <c r="E17" s="2">
        <v>75305.710000000006</v>
      </c>
      <c r="F17" s="2">
        <v>10940</v>
      </c>
      <c r="G17" s="2">
        <v>6.0000000000000001E-3</v>
      </c>
      <c r="H17" s="2">
        <v>26</v>
      </c>
      <c r="I17" s="2">
        <v>76.5</v>
      </c>
      <c r="J17" s="2">
        <v>1.32</v>
      </c>
      <c r="K17" s="2">
        <v>0</v>
      </c>
      <c r="L17" s="2">
        <v>4.5</v>
      </c>
      <c r="M17" s="2">
        <v>834017.02</v>
      </c>
      <c r="N17" s="2">
        <v>114745.03</v>
      </c>
    </row>
    <row r="18" spans="1:14">
      <c r="A18" s="2" t="s">
        <v>23</v>
      </c>
      <c r="B18" s="3">
        <v>45658</v>
      </c>
      <c r="C18" s="2" t="s">
        <v>24</v>
      </c>
      <c r="D18" s="2" t="s">
        <v>16</v>
      </c>
      <c r="E18" s="2">
        <v>48804.22</v>
      </c>
      <c r="F18" s="2">
        <v>7057</v>
      </c>
      <c r="G18" s="2">
        <v>5.0000000000000001E-3</v>
      </c>
      <c r="H18" s="2">
        <v>15</v>
      </c>
      <c r="I18" s="2">
        <v>87.7</v>
      </c>
      <c r="J18" s="2">
        <v>1.22</v>
      </c>
      <c r="K18" s="2">
        <v>0</v>
      </c>
      <c r="L18" s="2">
        <v>3.7</v>
      </c>
      <c r="M18" s="2">
        <v>666152.52</v>
      </c>
      <c r="N18" s="2">
        <v>107490.58</v>
      </c>
    </row>
    <row r="19" spans="1:14">
      <c r="A19" s="2" t="s">
        <v>23</v>
      </c>
      <c r="B19" s="3">
        <v>45689</v>
      </c>
      <c r="C19" s="2" t="s">
        <v>24</v>
      </c>
      <c r="D19" s="2" t="s">
        <v>16</v>
      </c>
      <c r="E19" s="2">
        <v>59117.9</v>
      </c>
      <c r="F19" s="2">
        <v>4263</v>
      </c>
      <c r="G19" s="2">
        <v>0.11899999999999999</v>
      </c>
      <c r="H19" s="2">
        <v>9</v>
      </c>
      <c r="I19" s="2">
        <v>87.6</v>
      </c>
      <c r="J19" s="2">
        <v>4.01</v>
      </c>
      <c r="K19" s="2">
        <v>0</v>
      </c>
      <c r="L19" s="2">
        <v>3.6</v>
      </c>
      <c r="M19" s="2">
        <v>573155.18999999994</v>
      </c>
      <c r="N19" s="2">
        <v>83680.75</v>
      </c>
    </row>
    <row r="20" spans="1:14">
      <c r="A20" s="2" t="s">
        <v>23</v>
      </c>
      <c r="B20" s="3">
        <v>45717</v>
      </c>
      <c r="C20" s="2" t="s">
        <v>24</v>
      </c>
      <c r="D20" s="2" t="s">
        <v>16</v>
      </c>
      <c r="E20" s="2">
        <v>78831.12</v>
      </c>
      <c r="F20" s="2">
        <v>5538</v>
      </c>
      <c r="G20" s="2">
        <v>0</v>
      </c>
      <c r="H20" s="2">
        <v>15</v>
      </c>
      <c r="I20" s="2">
        <v>94.1</v>
      </c>
      <c r="J20" s="2">
        <v>0.2</v>
      </c>
      <c r="K20" s="2">
        <v>0</v>
      </c>
      <c r="L20" s="2">
        <v>3.9</v>
      </c>
      <c r="M20" s="2">
        <v>666573.19999999995</v>
      </c>
      <c r="N20" s="2">
        <v>140641.01999999999</v>
      </c>
    </row>
    <row r="21" spans="1:14">
      <c r="A21" s="2" t="s">
        <v>23</v>
      </c>
      <c r="B21" s="3">
        <v>45748</v>
      </c>
      <c r="C21" s="2" t="s">
        <v>24</v>
      </c>
      <c r="D21" s="2" t="s">
        <v>16</v>
      </c>
      <c r="E21" s="2">
        <v>41441.93</v>
      </c>
      <c r="F21" s="2">
        <v>4865</v>
      </c>
      <c r="G21" s="2">
        <v>0.158</v>
      </c>
      <c r="H21" s="2">
        <v>16</v>
      </c>
      <c r="I21" s="2">
        <v>88.3</v>
      </c>
      <c r="J21" s="2">
        <v>0.5</v>
      </c>
      <c r="K21" s="2">
        <v>0</v>
      </c>
      <c r="L21" s="2">
        <v>4</v>
      </c>
      <c r="M21" s="2">
        <v>591619.94999999995</v>
      </c>
      <c r="N21" s="2">
        <v>99521.35</v>
      </c>
    </row>
    <row r="22" spans="1:14">
      <c r="A22" s="2" t="s">
        <v>25</v>
      </c>
      <c r="B22" s="3">
        <v>45658</v>
      </c>
      <c r="C22" s="2" t="s">
        <v>20</v>
      </c>
      <c r="D22" s="2" t="s">
        <v>16</v>
      </c>
      <c r="E22" s="2">
        <v>30356.28</v>
      </c>
      <c r="F22" s="2">
        <v>2822</v>
      </c>
      <c r="G22" s="2">
        <v>0.23100000000000001</v>
      </c>
      <c r="H22" s="2">
        <v>9</v>
      </c>
      <c r="I22" s="2">
        <v>84.8</v>
      </c>
      <c r="J22" s="2">
        <v>6.95</v>
      </c>
      <c r="K22" s="2">
        <v>0</v>
      </c>
      <c r="L22" s="2">
        <v>5</v>
      </c>
      <c r="M22" s="2">
        <v>415721.82</v>
      </c>
      <c r="N22" s="2">
        <v>61179.15</v>
      </c>
    </row>
    <row r="23" spans="1:14">
      <c r="A23" s="2" t="s">
        <v>25</v>
      </c>
      <c r="B23" s="3">
        <v>45689</v>
      </c>
      <c r="C23" s="2" t="s">
        <v>20</v>
      </c>
      <c r="D23" s="2" t="s">
        <v>16</v>
      </c>
      <c r="E23" s="2">
        <v>33518.879999999997</v>
      </c>
      <c r="F23" s="2">
        <v>2121</v>
      </c>
      <c r="G23" s="2">
        <v>0.17599999999999999</v>
      </c>
      <c r="H23" s="2">
        <v>8</v>
      </c>
      <c r="I23" s="2">
        <v>88.5</v>
      </c>
      <c r="J23" s="2">
        <v>0.2</v>
      </c>
      <c r="K23" s="2">
        <v>0</v>
      </c>
      <c r="L23" s="2">
        <v>5</v>
      </c>
      <c r="M23" s="2">
        <v>491905.13</v>
      </c>
      <c r="N23" s="2">
        <v>79212.259999999995</v>
      </c>
    </row>
    <row r="24" spans="1:14">
      <c r="A24" s="2" t="s">
        <v>25</v>
      </c>
      <c r="B24" s="3">
        <v>45717</v>
      </c>
      <c r="C24" s="2" t="s">
        <v>20</v>
      </c>
      <c r="D24" s="2" t="s">
        <v>16</v>
      </c>
      <c r="E24" s="2">
        <v>42267.37</v>
      </c>
      <c r="F24" s="2">
        <v>3364</v>
      </c>
      <c r="G24" s="2">
        <v>0.16</v>
      </c>
      <c r="H24" s="2">
        <v>13</v>
      </c>
      <c r="I24" s="2">
        <v>82</v>
      </c>
      <c r="J24" s="2">
        <v>1.61</v>
      </c>
      <c r="K24" s="2">
        <v>1</v>
      </c>
      <c r="L24" s="2">
        <v>4.5999999999999996</v>
      </c>
      <c r="M24" s="2">
        <v>555929.4</v>
      </c>
      <c r="N24" s="2">
        <v>115201.76</v>
      </c>
    </row>
    <row r="25" spans="1:14">
      <c r="A25" s="2" t="s">
        <v>25</v>
      </c>
      <c r="B25" s="3">
        <v>45748</v>
      </c>
      <c r="C25" s="2" t="s">
        <v>20</v>
      </c>
      <c r="D25" s="2" t="s">
        <v>16</v>
      </c>
      <c r="E25" s="2">
        <v>62060.43</v>
      </c>
      <c r="F25" s="2">
        <v>2613</v>
      </c>
      <c r="G25" s="2">
        <v>0.216</v>
      </c>
      <c r="H25" s="2">
        <v>12</v>
      </c>
      <c r="I25" s="2">
        <v>92.1</v>
      </c>
      <c r="J25" s="2">
        <v>1.55</v>
      </c>
      <c r="K25" s="2">
        <v>0</v>
      </c>
      <c r="L25" s="2">
        <v>4.7</v>
      </c>
      <c r="M25" s="2">
        <v>565810.99</v>
      </c>
      <c r="N25" s="2">
        <v>77825.460000000006</v>
      </c>
    </row>
    <row r="26" spans="1:14">
      <c r="A26" s="2" t="s">
        <v>26</v>
      </c>
      <c r="B26" s="3">
        <v>45658</v>
      </c>
      <c r="C26" s="2" t="s">
        <v>27</v>
      </c>
      <c r="D26" s="2" t="s">
        <v>28</v>
      </c>
      <c r="E26" s="2">
        <v>57696.69</v>
      </c>
      <c r="F26" s="2">
        <v>10218</v>
      </c>
      <c r="G26" s="2">
        <v>0.121</v>
      </c>
      <c r="H26" s="2">
        <v>25</v>
      </c>
      <c r="I26" s="2">
        <v>94.8</v>
      </c>
      <c r="J26" s="2">
        <v>2.99</v>
      </c>
      <c r="K26" s="2">
        <v>0</v>
      </c>
      <c r="L26" s="2">
        <v>3.5</v>
      </c>
      <c r="M26" s="2">
        <v>811771.14</v>
      </c>
      <c r="N26" s="2">
        <v>148756.24</v>
      </c>
    </row>
    <row r="27" spans="1:14">
      <c r="A27" s="2" t="s">
        <v>26</v>
      </c>
      <c r="B27" s="3">
        <v>45689</v>
      </c>
      <c r="C27" s="2" t="s">
        <v>27</v>
      </c>
      <c r="D27" s="2" t="s">
        <v>28</v>
      </c>
      <c r="E27" s="2">
        <v>172415.52</v>
      </c>
      <c r="F27" s="2">
        <v>8927</v>
      </c>
      <c r="G27" s="2">
        <v>0.14000000000000001</v>
      </c>
      <c r="H27" s="2">
        <v>22</v>
      </c>
      <c r="I27" s="2">
        <v>86.2</v>
      </c>
      <c r="J27" s="2">
        <v>7.04</v>
      </c>
      <c r="K27" s="2">
        <v>0</v>
      </c>
      <c r="L27" s="2">
        <v>3.9</v>
      </c>
      <c r="M27" s="2">
        <v>800451.94</v>
      </c>
      <c r="N27" s="2">
        <v>111572.29</v>
      </c>
    </row>
    <row r="28" spans="1:14">
      <c r="A28" s="2" t="s">
        <v>26</v>
      </c>
      <c r="B28" s="3">
        <v>45717</v>
      </c>
      <c r="C28" s="2" t="s">
        <v>27</v>
      </c>
      <c r="D28" s="2" t="s">
        <v>28</v>
      </c>
      <c r="E28" s="2">
        <v>55270.52</v>
      </c>
      <c r="F28" s="2">
        <v>9315</v>
      </c>
      <c r="G28" s="2">
        <v>0.16900000000000001</v>
      </c>
      <c r="H28" s="2">
        <v>23</v>
      </c>
      <c r="I28" s="2">
        <v>91.9</v>
      </c>
      <c r="J28" s="2">
        <v>4.9400000000000004</v>
      </c>
      <c r="K28" s="2">
        <v>0</v>
      </c>
      <c r="L28" s="2">
        <v>4</v>
      </c>
      <c r="M28" s="2">
        <v>783672.82</v>
      </c>
      <c r="N28" s="2">
        <v>112577.14</v>
      </c>
    </row>
    <row r="29" spans="1:14">
      <c r="A29" s="2" t="s">
        <v>26</v>
      </c>
      <c r="B29" s="3">
        <v>45748</v>
      </c>
      <c r="C29" s="2" t="s">
        <v>27</v>
      </c>
      <c r="D29" s="2" t="s">
        <v>28</v>
      </c>
      <c r="E29" s="2">
        <v>52715.1</v>
      </c>
      <c r="F29" s="2">
        <v>7223</v>
      </c>
      <c r="G29" s="2">
        <v>0.122</v>
      </c>
      <c r="H29" s="2">
        <v>16</v>
      </c>
      <c r="I29" s="2">
        <v>84.2</v>
      </c>
      <c r="J29" s="2">
        <v>16.149999999999999</v>
      </c>
      <c r="K29" s="2">
        <v>0</v>
      </c>
      <c r="L29" s="2">
        <v>3.7</v>
      </c>
      <c r="M29" s="2">
        <v>701641.97</v>
      </c>
      <c r="N29" s="2">
        <v>106111.86</v>
      </c>
    </row>
    <row r="30" spans="1:14">
      <c r="A30" s="2" t="s">
        <v>29</v>
      </c>
      <c r="B30" s="3">
        <v>45658</v>
      </c>
      <c r="C30" s="2" t="s">
        <v>15</v>
      </c>
      <c r="D30" s="2" t="s">
        <v>16</v>
      </c>
      <c r="E30" s="2">
        <v>68600.62</v>
      </c>
      <c r="F30" s="2">
        <v>3988</v>
      </c>
      <c r="G30" s="2">
        <v>0.124</v>
      </c>
      <c r="H30" s="2">
        <v>11</v>
      </c>
      <c r="I30" s="2">
        <v>85</v>
      </c>
      <c r="J30" s="2">
        <v>0.48</v>
      </c>
      <c r="K30" s="2">
        <v>0</v>
      </c>
      <c r="L30" s="2">
        <v>3.6</v>
      </c>
      <c r="M30" s="2">
        <v>511844.41</v>
      </c>
      <c r="N30" s="2">
        <v>72774.44</v>
      </c>
    </row>
    <row r="31" spans="1:14">
      <c r="A31" s="2" t="s">
        <v>29</v>
      </c>
      <c r="B31" s="3">
        <v>45689</v>
      </c>
      <c r="C31" s="2" t="s">
        <v>15</v>
      </c>
      <c r="D31" s="2" t="s">
        <v>16</v>
      </c>
      <c r="E31" s="2">
        <v>63176.73</v>
      </c>
      <c r="F31" s="2">
        <v>2390</v>
      </c>
      <c r="G31" s="2">
        <v>0.216</v>
      </c>
      <c r="H31" s="2">
        <v>9</v>
      </c>
      <c r="I31" s="2">
        <v>87.5</v>
      </c>
      <c r="J31" s="2">
        <v>0.31</v>
      </c>
      <c r="K31" s="2">
        <v>0</v>
      </c>
      <c r="L31" s="2">
        <v>3.1</v>
      </c>
      <c r="M31" s="2">
        <v>537383.79</v>
      </c>
      <c r="N31" s="2">
        <v>63773.27</v>
      </c>
    </row>
    <row r="32" spans="1:14">
      <c r="A32" s="2" t="s">
        <v>29</v>
      </c>
      <c r="B32" s="3">
        <v>45717</v>
      </c>
      <c r="C32" s="2" t="s">
        <v>15</v>
      </c>
      <c r="D32" s="2" t="s">
        <v>16</v>
      </c>
      <c r="E32" s="2">
        <v>44970.080000000002</v>
      </c>
      <c r="F32" s="2">
        <v>2471</v>
      </c>
      <c r="G32" s="2">
        <v>0.13600000000000001</v>
      </c>
      <c r="H32" s="2">
        <v>11</v>
      </c>
      <c r="I32" s="2">
        <v>87.6</v>
      </c>
      <c r="J32" s="2">
        <v>3.01</v>
      </c>
      <c r="K32" s="2">
        <v>1</v>
      </c>
      <c r="L32" s="2">
        <v>3.7</v>
      </c>
      <c r="M32" s="2">
        <v>500173.02</v>
      </c>
      <c r="N32" s="2">
        <v>70982.05</v>
      </c>
    </row>
    <row r="33" spans="1:14">
      <c r="A33" s="2" t="s">
        <v>29</v>
      </c>
      <c r="B33" s="3">
        <v>45748</v>
      </c>
      <c r="C33" s="2" t="s">
        <v>15</v>
      </c>
      <c r="D33" s="2" t="s">
        <v>16</v>
      </c>
      <c r="E33" s="2">
        <v>69816.350000000006</v>
      </c>
      <c r="F33" s="2">
        <v>971</v>
      </c>
      <c r="G33" s="2">
        <v>0.16800000000000001</v>
      </c>
      <c r="H33" s="2">
        <v>5</v>
      </c>
      <c r="I33" s="2">
        <v>89.9</v>
      </c>
      <c r="J33" s="2">
        <v>12.15</v>
      </c>
      <c r="K33" s="2">
        <v>0</v>
      </c>
      <c r="L33" s="2">
        <v>3.6</v>
      </c>
      <c r="M33" s="2">
        <v>427917.38</v>
      </c>
      <c r="N33" s="2">
        <v>81824.31</v>
      </c>
    </row>
    <row r="34" spans="1:14">
      <c r="A34" s="2" t="s">
        <v>30</v>
      </c>
      <c r="B34" s="3">
        <v>45658</v>
      </c>
      <c r="C34" s="2" t="s">
        <v>20</v>
      </c>
      <c r="D34" s="2" t="s">
        <v>16</v>
      </c>
      <c r="E34" s="2">
        <v>54597.83</v>
      </c>
      <c r="F34" s="2">
        <v>9429</v>
      </c>
      <c r="G34" s="2">
        <v>0.188</v>
      </c>
      <c r="H34" s="2">
        <v>21</v>
      </c>
      <c r="I34" s="2">
        <v>83.3</v>
      </c>
      <c r="J34" s="2">
        <v>11.71</v>
      </c>
      <c r="K34" s="2">
        <v>0</v>
      </c>
      <c r="L34" s="2">
        <v>4.2</v>
      </c>
      <c r="M34" s="2">
        <v>641865.03</v>
      </c>
      <c r="N34" s="2">
        <v>81342.58</v>
      </c>
    </row>
    <row r="35" spans="1:14">
      <c r="A35" s="2" t="s">
        <v>30</v>
      </c>
      <c r="B35" s="3">
        <v>45689</v>
      </c>
      <c r="C35" s="2" t="s">
        <v>20</v>
      </c>
      <c r="D35" s="2" t="s">
        <v>16</v>
      </c>
      <c r="E35" s="2">
        <v>73771.91</v>
      </c>
      <c r="F35" s="2">
        <v>11695</v>
      </c>
      <c r="G35" s="2">
        <v>7.0000000000000007E-2</v>
      </c>
      <c r="H35" s="2">
        <v>25</v>
      </c>
      <c r="I35" s="2">
        <v>84.7</v>
      </c>
      <c r="J35" s="2">
        <v>0.62</v>
      </c>
      <c r="K35" s="2">
        <v>0</v>
      </c>
      <c r="L35" s="4">
        <v>3.9</v>
      </c>
      <c r="M35" s="2">
        <v>799477.76000000001</v>
      </c>
      <c r="N35" s="2">
        <v>164974.41</v>
      </c>
    </row>
    <row r="36" spans="1:14">
      <c r="A36" s="2" t="s">
        <v>30</v>
      </c>
      <c r="B36" s="3">
        <v>45717</v>
      </c>
      <c r="C36" s="2" t="s">
        <v>20</v>
      </c>
      <c r="D36" s="2" t="s">
        <v>16</v>
      </c>
      <c r="E36" s="2">
        <v>74413.88</v>
      </c>
      <c r="F36" s="2">
        <v>9449</v>
      </c>
      <c r="G36" s="2">
        <v>3.9E-2</v>
      </c>
      <c r="H36" s="2">
        <v>23</v>
      </c>
      <c r="I36" s="2">
        <v>92.1</v>
      </c>
      <c r="J36" s="2">
        <v>2.12</v>
      </c>
      <c r="K36" s="2">
        <v>0</v>
      </c>
      <c r="L36" s="2">
        <v>3.5</v>
      </c>
      <c r="M36" s="2">
        <v>798952.17</v>
      </c>
      <c r="N36" s="2">
        <v>161499.04</v>
      </c>
    </row>
    <row r="37" spans="1:14">
      <c r="A37" s="2" t="s">
        <v>30</v>
      </c>
      <c r="B37" s="3">
        <v>45748</v>
      </c>
      <c r="C37" s="2" t="s">
        <v>20</v>
      </c>
      <c r="D37" s="2" t="s">
        <v>16</v>
      </c>
      <c r="E37" s="2">
        <v>52483.77</v>
      </c>
      <c r="F37" s="2">
        <v>10453</v>
      </c>
      <c r="G37" s="2">
        <v>0.247</v>
      </c>
      <c r="H37" s="2">
        <v>25</v>
      </c>
      <c r="I37" s="2">
        <v>99</v>
      </c>
      <c r="J37" s="2">
        <v>6.31</v>
      </c>
      <c r="K37" s="2">
        <v>0</v>
      </c>
      <c r="L37" s="2">
        <v>3.6</v>
      </c>
      <c r="M37" s="2">
        <v>800979.78</v>
      </c>
      <c r="N37" s="2">
        <v>149242.26999999999</v>
      </c>
    </row>
    <row r="38" spans="1:14">
      <c r="A38" s="2" t="s">
        <v>31</v>
      </c>
      <c r="B38" s="3">
        <v>45658</v>
      </c>
      <c r="C38" s="2" t="s">
        <v>20</v>
      </c>
      <c r="D38" s="2" t="s">
        <v>28</v>
      </c>
      <c r="E38" s="2">
        <v>75269.87</v>
      </c>
      <c r="F38" s="2">
        <v>8838</v>
      </c>
      <c r="G38" s="2">
        <v>9.1999999999999998E-2</v>
      </c>
      <c r="H38" s="2">
        <v>21</v>
      </c>
      <c r="I38" s="2">
        <v>83.1</v>
      </c>
      <c r="J38" s="2">
        <v>9.56</v>
      </c>
      <c r="K38" s="2">
        <v>1</v>
      </c>
      <c r="L38" s="2">
        <v>4.2</v>
      </c>
      <c r="M38" s="2">
        <v>820593.93</v>
      </c>
      <c r="N38" s="2">
        <v>115860.06</v>
      </c>
    </row>
    <row r="39" spans="1:14">
      <c r="A39" s="2" t="s">
        <v>31</v>
      </c>
      <c r="B39" s="3">
        <v>45689</v>
      </c>
      <c r="C39" s="2" t="s">
        <v>20</v>
      </c>
      <c r="D39" s="2" t="s">
        <v>28</v>
      </c>
      <c r="E39" s="2">
        <v>61245.41</v>
      </c>
      <c r="F39" s="2">
        <v>8156</v>
      </c>
      <c r="G39" s="2">
        <v>0.156</v>
      </c>
      <c r="H39" s="2">
        <v>19</v>
      </c>
      <c r="I39" s="2">
        <v>92.9</v>
      </c>
      <c r="J39" s="2">
        <v>9.0500000000000007</v>
      </c>
      <c r="K39" s="2">
        <v>0</v>
      </c>
      <c r="L39" s="2">
        <v>3.8</v>
      </c>
      <c r="M39" s="2">
        <v>718330.53</v>
      </c>
      <c r="N39" s="2">
        <v>93247.9</v>
      </c>
    </row>
    <row r="40" spans="1:14">
      <c r="A40" s="2" t="s">
        <v>31</v>
      </c>
      <c r="B40" s="3">
        <v>45717</v>
      </c>
      <c r="C40" s="2" t="s">
        <v>20</v>
      </c>
      <c r="D40" s="2" t="s">
        <v>28</v>
      </c>
      <c r="E40" s="2">
        <v>93381.26</v>
      </c>
      <c r="F40" s="2">
        <v>7562</v>
      </c>
      <c r="G40" s="2">
        <v>0.19800000000000001</v>
      </c>
      <c r="H40" s="2">
        <v>19</v>
      </c>
      <c r="I40" s="2">
        <v>82.9</v>
      </c>
      <c r="J40" s="2">
        <v>5.05</v>
      </c>
      <c r="K40" s="2">
        <v>0</v>
      </c>
      <c r="L40" s="2">
        <v>4</v>
      </c>
      <c r="M40" s="2">
        <v>736633.4</v>
      </c>
      <c r="N40" s="2">
        <v>115654.66</v>
      </c>
    </row>
    <row r="41" spans="1:14">
      <c r="A41" s="2" t="s">
        <v>31</v>
      </c>
      <c r="B41" s="3">
        <v>45748</v>
      </c>
      <c r="C41" s="2" t="s">
        <v>20</v>
      </c>
      <c r="D41" s="2" t="s">
        <v>28</v>
      </c>
      <c r="E41" s="2">
        <v>65012.19</v>
      </c>
      <c r="F41" s="2">
        <v>9598</v>
      </c>
      <c r="G41" s="2">
        <v>8.5000000000000006E-2</v>
      </c>
      <c r="H41" s="2">
        <v>24</v>
      </c>
      <c r="I41" s="2">
        <v>98.3</v>
      </c>
      <c r="J41" s="2">
        <v>0.89</v>
      </c>
      <c r="K41" s="2">
        <v>0</v>
      </c>
      <c r="L41" s="2">
        <v>3.8</v>
      </c>
      <c r="M41" s="2">
        <v>828623.85</v>
      </c>
      <c r="N41" s="2">
        <v>167320.51999999999</v>
      </c>
    </row>
    <row r="42" spans="1:14">
      <c r="A42" s="2" t="s">
        <v>32</v>
      </c>
      <c r="B42" s="3">
        <v>45658</v>
      </c>
      <c r="C42" s="2" t="s">
        <v>15</v>
      </c>
      <c r="D42" s="2" t="s">
        <v>28</v>
      </c>
      <c r="E42" s="2">
        <v>40462.94</v>
      </c>
      <c r="F42" s="2">
        <v>3660</v>
      </c>
      <c r="G42" s="2">
        <v>0.218</v>
      </c>
      <c r="H42" s="2">
        <v>11</v>
      </c>
      <c r="I42" s="2">
        <v>95.2</v>
      </c>
      <c r="J42" s="2">
        <v>5.57</v>
      </c>
      <c r="K42" s="2">
        <v>0</v>
      </c>
      <c r="L42" s="2">
        <v>4.4000000000000004</v>
      </c>
      <c r="M42" s="2">
        <v>592195.85</v>
      </c>
      <c r="N42" s="2">
        <v>92291.56</v>
      </c>
    </row>
    <row r="43" spans="1:14">
      <c r="A43" s="2" t="s">
        <v>32</v>
      </c>
      <c r="B43" s="3">
        <v>45689</v>
      </c>
      <c r="C43" s="2" t="s">
        <v>15</v>
      </c>
      <c r="D43" s="2" t="s">
        <v>28</v>
      </c>
      <c r="E43" s="2">
        <v>46123.88</v>
      </c>
      <c r="F43" s="2">
        <v>3227</v>
      </c>
      <c r="G43" s="2">
        <v>0.14299999999999999</v>
      </c>
      <c r="H43" s="2">
        <v>10</v>
      </c>
      <c r="I43" s="2">
        <v>75.400000000000006</v>
      </c>
      <c r="J43" s="2">
        <v>1.06</v>
      </c>
      <c r="K43" s="2">
        <v>0</v>
      </c>
      <c r="L43" s="2">
        <v>4.4000000000000004</v>
      </c>
      <c r="M43" s="2">
        <v>532644.46</v>
      </c>
      <c r="N43" s="2">
        <v>60681.32</v>
      </c>
    </row>
    <row r="44" spans="1:14">
      <c r="A44" s="2" t="s">
        <v>32</v>
      </c>
      <c r="B44" s="3">
        <v>45717</v>
      </c>
      <c r="C44" s="2" t="s">
        <v>15</v>
      </c>
      <c r="D44" s="2" t="s">
        <v>28</v>
      </c>
      <c r="E44" s="2">
        <v>68077.539999999994</v>
      </c>
      <c r="F44" s="2">
        <v>3360</v>
      </c>
      <c r="G44" s="2">
        <v>0.128</v>
      </c>
      <c r="H44" s="2">
        <v>14</v>
      </c>
      <c r="I44" s="2">
        <v>88.2</v>
      </c>
      <c r="J44" s="2">
        <v>1.24</v>
      </c>
      <c r="K44" s="2">
        <v>1</v>
      </c>
      <c r="L44" s="2">
        <v>4</v>
      </c>
      <c r="M44" s="2">
        <v>657429.18000000005</v>
      </c>
      <c r="N44" s="2">
        <v>88919.74</v>
      </c>
    </row>
    <row r="45" spans="1:14">
      <c r="A45" s="2" t="s">
        <v>32</v>
      </c>
      <c r="B45" s="3">
        <v>45748</v>
      </c>
      <c r="C45" s="2" t="s">
        <v>15</v>
      </c>
      <c r="D45" s="2" t="s">
        <v>28</v>
      </c>
      <c r="E45" s="2">
        <v>64882.14</v>
      </c>
      <c r="F45" s="2">
        <v>3642</v>
      </c>
      <c r="G45" s="2">
        <v>1.9E-2</v>
      </c>
      <c r="H45" s="2">
        <v>13</v>
      </c>
      <c r="I45" s="2">
        <v>87.8</v>
      </c>
      <c r="J45" s="2">
        <v>4.5199999999999996</v>
      </c>
      <c r="K45" s="2">
        <v>0</v>
      </c>
      <c r="L45" s="2">
        <v>4.2</v>
      </c>
      <c r="M45" s="2">
        <v>605178</v>
      </c>
      <c r="N45" s="2">
        <v>106958.74</v>
      </c>
    </row>
    <row r="46" spans="1:14">
      <c r="A46" s="2" t="s">
        <v>33</v>
      </c>
      <c r="B46" s="3">
        <v>45658</v>
      </c>
      <c r="C46" s="2" t="s">
        <v>27</v>
      </c>
      <c r="D46" s="2" t="s">
        <v>16</v>
      </c>
      <c r="E46" s="2">
        <v>138855.51</v>
      </c>
      <c r="F46" s="2">
        <v>5145</v>
      </c>
      <c r="G46" s="2">
        <v>0.06</v>
      </c>
      <c r="H46" s="2">
        <v>17</v>
      </c>
      <c r="I46" s="2">
        <v>88.2</v>
      </c>
      <c r="J46" s="2">
        <v>9.58</v>
      </c>
      <c r="K46" s="2">
        <v>0</v>
      </c>
      <c r="L46" s="2">
        <v>3.2</v>
      </c>
      <c r="M46" s="2">
        <v>595467.6</v>
      </c>
      <c r="N46" s="2">
        <v>104276.46</v>
      </c>
    </row>
    <row r="47" spans="1:14">
      <c r="A47" s="2" t="s">
        <v>33</v>
      </c>
      <c r="B47" s="3">
        <v>45689</v>
      </c>
      <c r="C47" s="2" t="s">
        <v>27</v>
      </c>
      <c r="D47" s="2" t="s">
        <v>16</v>
      </c>
      <c r="E47" s="2">
        <v>63630.21</v>
      </c>
      <c r="F47" s="2">
        <v>4460</v>
      </c>
      <c r="G47" s="2">
        <v>0.23499999999999999</v>
      </c>
      <c r="H47" s="2">
        <v>14</v>
      </c>
      <c r="I47" s="2">
        <v>98.6</v>
      </c>
      <c r="J47" s="2">
        <v>5.52</v>
      </c>
      <c r="K47" s="2">
        <v>0</v>
      </c>
      <c r="L47" s="2">
        <v>3.5</v>
      </c>
      <c r="M47" s="2">
        <v>599603.4</v>
      </c>
      <c r="N47" s="2">
        <v>112685.12</v>
      </c>
    </row>
    <row r="48" spans="1:14">
      <c r="A48" s="2" t="s">
        <v>33</v>
      </c>
      <c r="B48" s="3">
        <v>45717</v>
      </c>
      <c r="C48" s="2" t="s">
        <v>27</v>
      </c>
      <c r="D48" s="2" t="s">
        <v>16</v>
      </c>
      <c r="E48" s="2">
        <v>50043.65</v>
      </c>
      <c r="F48" s="2">
        <v>3804</v>
      </c>
      <c r="G48" s="2">
        <v>0.113</v>
      </c>
      <c r="H48" s="2">
        <v>11</v>
      </c>
      <c r="I48" s="2">
        <v>90.9</v>
      </c>
      <c r="J48" s="2">
        <v>2.7</v>
      </c>
      <c r="K48" s="2">
        <v>1</v>
      </c>
      <c r="L48" s="2">
        <v>3.2</v>
      </c>
      <c r="M48" s="2">
        <v>614800.09</v>
      </c>
      <c r="N48" s="2">
        <v>100044.2</v>
      </c>
    </row>
    <row r="49" spans="1:14">
      <c r="A49" s="2" t="s">
        <v>33</v>
      </c>
      <c r="B49" s="3">
        <v>45748</v>
      </c>
      <c r="C49" s="2" t="s">
        <v>27</v>
      </c>
      <c r="D49" s="2" t="s">
        <v>16</v>
      </c>
      <c r="E49" s="2">
        <v>42093.84</v>
      </c>
      <c r="F49" s="2">
        <v>4074</v>
      </c>
      <c r="G49" s="2">
        <v>0.155</v>
      </c>
      <c r="H49" s="2">
        <v>15</v>
      </c>
      <c r="I49" s="2">
        <v>88</v>
      </c>
      <c r="J49" s="2">
        <v>9.64</v>
      </c>
      <c r="K49" s="2">
        <v>0</v>
      </c>
      <c r="L49" s="2">
        <v>3.3</v>
      </c>
      <c r="M49" s="2">
        <v>585365.73</v>
      </c>
      <c r="N49" s="2">
        <v>81011.520000000004</v>
      </c>
    </row>
    <row r="50" spans="1:14">
      <c r="A50" s="2" t="s">
        <v>34</v>
      </c>
      <c r="B50" s="3">
        <v>45658</v>
      </c>
      <c r="C50" s="2" t="s">
        <v>20</v>
      </c>
      <c r="D50" s="2" t="s">
        <v>28</v>
      </c>
      <c r="E50" s="2">
        <v>46624.05</v>
      </c>
      <c r="F50" s="2">
        <v>5104</v>
      </c>
      <c r="G50" s="2">
        <v>0.109</v>
      </c>
      <c r="H50" s="2">
        <v>11</v>
      </c>
      <c r="I50" s="2">
        <v>97.3</v>
      </c>
      <c r="J50" s="2">
        <v>3.49</v>
      </c>
      <c r="K50" s="2">
        <v>1</v>
      </c>
      <c r="L50" s="2">
        <v>4.7</v>
      </c>
      <c r="M50" s="2">
        <v>622811.74</v>
      </c>
      <c r="N50" s="2">
        <v>109978.35</v>
      </c>
    </row>
    <row r="51" spans="1:14">
      <c r="A51" s="2" t="s">
        <v>34</v>
      </c>
      <c r="B51" s="3">
        <v>45689</v>
      </c>
      <c r="C51" s="2" t="s">
        <v>20</v>
      </c>
      <c r="D51" s="2" t="s">
        <v>28</v>
      </c>
      <c r="E51" s="2">
        <v>49710.29</v>
      </c>
      <c r="F51" s="2">
        <v>5559</v>
      </c>
      <c r="G51" s="2">
        <v>0.218</v>
      </c>
      <c r="H51" s="2">
        <v>14</v>
      </c>
      <c r="I51" s="2">
        <v>71</v>
      </c>
      <c r="J51" s="2">
        <v>9.11</v>
      </c>
      <c r="K51" s="2">
        <v>0</v>
      </c>
      <c r="L51" s="2">
        <v>4.5999999999999996</v>
      </c>
      <c r="M51" s="2">
        <v>603297.56999999995</v>
      </c>
      <c r="N51" s="2">
        <v>60592.26</v>
      </c>
    </row>
    <row r="52" spans="1:14">
      <c r="A52" s="2" t="s">
        <v>34</v>
      </c>
      <c r="B52" s="3">
        <v>45717</v>
      </c>
      <c r="C52" s="2" t="s">
        <v>20</v>
      </c>
      <c r="D52" s="2" t="s">
        <v>28</v>
      </c>
      <c r="E52" s="2">
        <v>48287.85</v>
      </c>
      <c r="F52" s="2">
        <v>5150</v>
      </c>
      <c r="G52" s="2">
        <v>8.0000000000000002E-3</v>
      </c>
      <c r="H52" s="2">
        <v>12</v>
      </c>
      <c r="I52" s="2">
        <v>80.400000000000006</v>
      </c>
      <c r="J52" s="2">
        <v>7.4</v>
      </c>
      <c r="K52" s="2">
        <v>0</v>
      </c>
      <c r="L52" s="2">
        <v>4.5</v>
      </c>
      <c r="M52" s="2">
        <v>625672.86</v>
      </c>
      <c r="N52" s="2">
        <v>118020.12</v>
      </c>
    </row>
    <row r="53" spans="1:14">
      <c r="A53" s="2" t="s">
        <v>34</v>
      </c>
      <c r="B53" s="3">
        <v>45748</v>
      </c>
      <c r="C53" s="2" t="s">
        <v>20</v>
      </c>
      <c r="D53" s="2" t="s">
        <v>28</v>
      </c>
      <c r="E53" s="2">
        <v>65312.49</v>
      </c>
      <c r="F53" s="2">
        <v>7189</v>
      </c>
      <c r="G53" s="2">
        <v>0.05</v>
      </c>
      <c r="H53" s="2">
        <v>19</v>
      </c>
      <c r="I53" s="2">
        <v>93.7</v>
      </c>
      <c r="J53" s="2">
        <v>7.16</v>
      </c>
      <c r="K53" s="2">
        <v>0</v>
      </c>
      <c r="L53" s="2">
        <v>4.5999999999999996</v>
      </c>
      <c r="M53" s="2">
        <v>773815.14</v>
      </c>
      <c r="N53" s="2">
        <v>133948.39000000001</v>
      </c>
    </row>
    <row r="54" spans="1:14">
      <c r="A54" s="2" t="s">
        <v>35</v>
      </c>
      <c r="B54" s="3">
        <v>45658</v>
      </c>
      <c r="C54" s="2" t="s">
        <v>27</v>
      </c>
      <c r="D54" s="2" t="s">
        <v>18</v>
      </c>
      <c r="E54" s="2">
        <v>53015.46</v>
      </c>
      <c r="F54" s="2">
        <v>3279</v>
      </c>
      <c r="G54" s="2">
        <v>8.6999999999999994E-2</v>
      </c>
      <c r="H54" s="2">
        <v>9</v>
      </c>
      <c r="I54" s="2">
        <v>84.3</v>
      </c>
      <c r="J54" s="2">
        <v>22.02</v>
      </c>
      <c r="K54" s="2">
        <v>0</v>
      </c>
      <c r="L54" s="2">
        <v>3.9</v>
      </c>
      <c r="M54" s="2">
        <v>463534.25</v>
      </c>
      <c r="N54" s="2">
        <v>81834.539999999994</v>
      </c>
    </row>
    <row r="55" spans="1:14">
      <c r="A55" s="2" t="s">
        <v>35</v>
      </c>
      <c r="B55" s="3">
        <v>45689</v>
      </c>
      <c r="C55" s="2" t="s">
        <v>27</v>
      </c>
      <c r="D55" s="2" t="s">
        <v>18</v>
      </c>
      <c r="E55" s="2">
        <v>99874.01</v>
      </c>
      <c r="F55" s="2">
        <v>5887</v>
      </c>
      <c r="G55" s="2">
        <v>0.26200000000000001</v>
      </c>
      <c r="H55" s="2">
        <v>14</v>
      </c>
      <c r="I55" s="2">
        <v>88.7</v>
      </c>
      <c r="J55" s="2">
        <v>6.18</v>
      </c>
      <c r="K55" s="2">
        <v>0</v>
      </c>
      <c r="L55" s="2">
        <v>4.7</v>
      </c>
      <c r="M55" s="2">
        <v>746677.75</v>
      </c>
      <c r="N55" s="2">
        <v>122437.84</v>
      </c>
    </row>
    <row r="56" spans="1:14">
      <c r="A56" s="2" t="s">
        <v>35</v>
      </c>
      <c r="B56" s="3">
        <v>45717</v>
      </c>
      <c r="C56" s="2" t="s">
        <v>27</v>
      </c>
      <c r="D56" s="2" t="s">
        <v>18</v>
      </c>
      <c r="E56" s="2">
        <v>81195.5</v>
      </c>
      <c r="F56" s="2">
        <v>5516</v>
      </c>
      <c r="G56" s="2">
        <v>0.106</v>
      </c>
      <c r="H56" s="2">
        <v>14</v>
      </c>
      <c r="I56" s="2">
        <v>88</v>
      </c>
      <c r="J56" s="2">
        <v>1.76</v>
      </c>
      <c r="K56" s="2">
        <v>0</v>
      </c>
      <c r="L56" s="2">
        <v>4.3</v>
      </c>
      <c r="M56" s="2">
        <v>720852.5</v>
      </c>
      <c r="N56" s="2">
        <v>98565.62</v>
      </c>
    </row>
    <row r="57" spans="1:14">
      <c r="A57" s="2" t="s">
        <v>35</v>
      </c>
      <c r="B57" s="3">
        <v>45748</v>
      </c>
      <c r="C57" s="2" t="s">
        <v>27</v>
      </c>
      <c r="D57" s="2" t="s">
        <v>18</v>
      </c>
      <c r="E57" s="2">
        <v>27808.6</v>
      </c>
      <c r="F57" s="2">
        <v>2863</v>
      </c>
      <c r="G57" s="2">
        <v>0.08</v>
      </c>
      <c r="H57" s="2">
        <v>13</v>
      </c>
      <c r="I57" s="2">
        <v>89.3</v>
      </c>
      <c r="J57" s="2">
        <v>0.47</v>
      </c>
      <c r="K57" s="2">
        <v>0</v>
      </c>
      <c r="L57" s="2">
        <v>4.0999999999999996</v>
      </c>
      <c r="M57" s="2">
        <v>487464.91</v>
      </c>
      <c r="N57" s="2">
        <v>64562.26</v>
      </c>
    </row>
    <row r="58" spans="1:14">
      <c r="A58" s="2" t="s">
        <v>36</v>
      </c>
      <c r="B58" s="3">
        <v>45658</v>
      </c>
      <c r="C58" s="2" t="s">
        <v>15</v>
      </c>
      <c r="D58" s="2" t="s">
        <v>21</v>
      </c>
      <c r="E58" s="2">
        <v>19365.060000000001</v>
      </c>
      <c r="F58" s="2">
        <v>2378</v>
      </c>
      <c r="G58" s="2">
        <v>0</v>
      </c>
      <c r="H58" s="2">
        <v>12</v>
      </c>
      <c r="I58" s="2">
        <v>94.8</v>
      </c>
      <c r="J58" s="2">
        <v>0.2</v>
      </c>
      <c r="K58" s="2">
        <v>0</v>
      </c>
      <c r="L58" s="2">
        <v>3.5</v>
      </c>
      <c r="M58" s="2">
        <v>518049.26</v>
      </c>
      <c r="N58" s="2">
        <v>108592.49</v>
      </c>
    </row>
    <row r="59" spans="1:14">
      <c r="A59" s="2" t="s">
        <v>36</v>
      </c>
      <c r="B59" s="3">
        <v>45689</v>
      </c>
      <c r="C59" s="2" t="s">
        <v>15</v>
      </c>
      <c r="D59" s="2" t="s">
        <v>21</v>
      </c>
      <c r="E59" s="2">
        <v>59405.68</v>
      </c>
      <c r="F59" s="2">
        <v>2515</v>
      </c>
      <c r="G59" s="2">
        <v>3.9E-2</v>
      </c>
      <c r="H59" s="2">
        <v>12</v>
      </c>
      <c r="I59" s="2">
        <v>76</v>
      </c>
      <c r="J59" s="2">
        <v>5.1100000000000003</v>
      </c>
      <c r="K59" s="2">
        <v>0</v>
      </c>
      <c r="L59" s="2">
        <v>3.7</v>
      </c>
      <c r="M59" s="2">
        <v>500298.48</v>
      </c>
      <c r="N59" s="2">
        <v>73461.320000000007</v>
      </c>
    </row>
    <row r="60" spans="1:14">
      <c r="A60" s="2" t="s">
        <v>36</v>
      </c>
      <c r="B60" s="3">
        <v>45717</v>
      </c>
      <c r="C60" s="2" t="s">
        <v>15</v>
      </c>
      <c r="D60" s="2" t="s">
        <v>21</v>
      </c>
      <c r="E60" s="2">
        <v>118910.48</v>
      </c>
      <c r="F60" s="2">
        <v>4022</v>
      </c>
      <c r="G60" s="2">
        <v>0.13700000000000001</v>
      </c>
      <c r="H60" s="2">
        <v>11</v>
      </c>
      <c r="I60" s="2">
        <v>87.1</v>
      </c>
      <c r="J60" s="2">
        <v>0.2</v>
      </c>
      <c r="K60" s="2">
        <v>0</v>
      </c>
      <c r="L60" s="2">
        <v>3.1</v>
      </c>
      <c r="M60" s="2">
        <v>617291.15</v>
      </c>
      <c r="N60" s="2">
        <v>117782</v>
      </c>
    </row>
    <row r="61" spans="1:14">
      <c r="A61" s="2" t="s">
        <v>36</v>
      </c>
      <c r="B61" s="3">
        <v>45748</v>
      </c>
      <c r="C61" s="2" t="s">
        <v>15</v>
      </c>
      <c r="D61" s="2" t="s">
        <v>21</v>
      </c>
      <c r="E61" s="2">
        <v>52952.12</v>
      </c>
      <c r="F61" s="2">
        <v>4377</v>
      </c>
      <c r="G61" s="2">
        <v>9.1999999999999998E-2</v>
      </c>
      <c r="H61" s="2">
        <v>14</v>
      </c>
      <c r="I61" s="2">
        <v>88.6</v>
      </c>
      <c r="J61" s="2">
        <v>13.59</v>
      </c>
      <c r="K61" s="2">
        <v>0</v>
      </c>
      <c r="L61" s="2">
        <v>3.1</v>
      </c>
      <c r="M61" s="2">
        <v>553756.43000000005</v>
      </c>
      <c r="N61" s="2">
        <v>86166.77</v>
      </c>
    </row>
    <row r="62" spans="1:14">
      <c r="A62" s="2" t="s">
        <v>37</v>
      </c>
      <c r="B62" s="3">
        <v>45658</v>
      </c>
      <c r="C62" s="2" t="s">
        <v>24</v>
      </c>
      <c r="D62" s="2" t="s">
        <v>18</v>
      </c>
      <c r="E62" s="2">
        <v>74907.98</v>
      </c>
      <c r="F62" s="2">
        <v>5306</v>
      </c>
      <c r="G62" s="2">
        <v>6.2E-2</v>
      </c>
      <c r="H62" s="2">
        <v>16</v>
      </c>
      <c r="I62" s="2">
        <v>95.6</v>
      </c>
      <c r="J62" s="2">
        <v>1.02</v>
      </c>
      <c r="K62" s="2">
        <v>0</v>
      </c>
      <c r="L62" s="2">
        <v>3.7</v>
      </c>
      <c r="M62" s="2">
        <v>749559.71</v>
      </c>
      <c r="N62" s="2">
        <v>144522.53</v>
      </c>
    </row>
    <row r="63" spans="1:14">
      <c r="A63" s="2" t="s">
        <v>37</v>
      </c>
      <c r="B63" s="3">
        <v>45689</v>
      </c>
      <c r="C63" s="2" t="s">
        <v>24</v>
      </c>
      <c r="D63" s="2" t="s">
        <v>18</v>
      </c>
      <c r="E63" s="2">
        <v>37284.660000000003</v>
      </c>
      <c r="F63" s="2">
        <v>3928</v>
      </c>
      <c r="G63" s="2">
        <v>7.3999999999999996E-2</v>
      </c>
      <c r="H63" s="2">
        <v>12</v>
      </c>
      <c r="I63" s="2">
        <v>86.5</v>
      </c>
      <c r="J63" s="2">
        <v>1.64</v>
      </c>
      <c r="K63" s="2">
        <v>0</v>
      </c>
      <c r="L63" s="2">
        <v>3.8</v>
      </c>
      <c r="M63" s="2">
        <v>615966.48</v>
      </c>
      <c r="N63" s="2">
        <v>91509.38</v>
      </c>
    </row>
    <row r="64" spans="1:14">
      <c r="A64" s="2" t="s">
        <v>37</v>
      </c>
      <c r="B64" s="3">
        <v>45717</v>
      </c>
      <c r="C64" s="2" t="s">
        <v>24</v>
      </c>
      <c r="D64" s="2" t="s">
        <v>18</v>
      </c>
      <c r="E64" s="2">
        <v>50343.19</v>
      </c>
      <c r="F64" s="2">
        <v>3845</v>
      </c>
      <c r="G64" s="2">
        <v>0.113</v>
      </c>
      <c r="H64" s="2">
        <v>9</v>
      </c>
      <c r="I64" s="2">
        <v>88.7</v>
      </c>
      <c r="J64" s="2">
        <v>5.15</v>
      </c>
      <c r="K64" s="2">
        <v>0</v>
      </c>
      <c r="L64" s="2">
        <v>3.3</v>
      </c>
      <c r="M64" s="2">
        <v>572011.19999999995</v>
      </c>
      <c r="N64" s="2">
        <v>101409.68</v>
      </c>
    </row>
    <row r="65" spans="1:14">
      <c r="A65" s="2" t="s">
        <v>37</v>
      </c>
      <c r="B65" s="3">
        <v>45748</v>
      </c>
      <c r="C65" s="2" t="s">
        <v>24</v>
      </c>
      <c r="D65" s="2" t="s">
        <v>18</v>
      </c>
      <c r="E65" s="2">
        <v>74954.47</v>
      </c>
      <c r="F65" s="2">
        <v>6620</v>
      </c>
      <c r="G65" s="2">
        <v>5.3999999999999999E-2</v>
      </c>
      <c r="H65" s="2">
        <v>17</v>
      </c>
      <c r="I65" s="2">
        <v>91.1</v>
      </c>
      <c r="J65" s="2">
        <v>1.1100000000000001</v>
      </c>
      <c r="K65" s="2">
        <v>0</v>
      </c>
      <c r="L65" s="2">
        <v>3.5</v>
      </c>
      <c r="M65" s="2">
        <v>761860.19</v>
      </c>
      <c r="N65" s="2">
        <v>133279.38</v>
      </c>
    </row>
    <row r="66" spans="1:14">
      <c r="A66" s="2" t="s">
        <v>38</v>
      </c>
      <c r="B66" s="3">
        <v>45658</v>
      </c>
      <c r="C66" s="2" t="s">
        <v>27</v>
      </c>
      <c r="D66" s="2" t="s">
        <v>18</v>
      </c>
      <c r="E66" s="2">
        <v>70040.31</v>
      </c>
      <c r="F66" s="2">
        <v>9175</v>
      </c>
      <c r="G66" s="2">
        <v>0.107</v>
      </c>
      <c r="H66" s="2">
        <v>23</v>
      </c>
      <c r="I66" s="2">
        <v>95.1</v>
      </c>
      <c r="J66" s="2">
        <v>6.08</v>
      </c>
      <c r="K66" s="2">
        <v>1</v>
      </c>
      <c r="L66" s="2">
        <v>3.4</v>
      </c>
      <c r="M66" s="2">
        <v>784502.68</v>
      </c>
      <c r="N66" s="2">
        <v>129519.72</v>
      </c>
    </row>
    <row r="67" spans="1:14">
      <c r="A67" s="2" t="s">
        <v>38</v>
      </c>
      <c r="B67" s="3">
        <v>45689</v>
      </c>
      <c r="C67" s="2" t="s">
        <v>27</v>
      </c>
      <c r="D67" s="2" t="s">
        <v>18</v>
      </c>
      <c r="E67" s="2">
        <v>51148.69</v>
      </c>
      <c r="F67" s="2">
        <v>7940</v>
      </c>
      <c r="G67" s="2">
        <v>0.156</v>
      </c>
      <c r="H67" s="2">
        <v>18</v>
      </c>
      <c r="I67" s="2">
        <v>93.3</v>
      </c>
      <c r="J67" s="2">
        <v>10.91</v>
      </c>
      <c r="K67" s="2">
        <v>0</v>
      </c>
      <c r="L67" s="2">
        <v>3.6</v>
      </c>
      <c r="M67" s="2">
        <v>717141.55</v>
      </c>
      <c r="N67" s="2">
        <v>134013.60999999999</v>
      </c>
    </row>
    <row r="68" spans="1:14">
      <c r="A68" s="2" t="s">
        <v>38</v>
      </c>
      <c r="B68" s="3">
        <v>45717</v>
      </c>
      <c r="C68" s="2" t="s">
        <v>27</v>
      </c>
      <c r="D68" s="2" t="s">
        <v>18</v>
      </c>
      <c r="E68" s="2">
        <v>79346.100000000006</v>
      </c>
      <c r="F68" s="2">
        <v>9628</v>
      </c>
      <c r="G68" s="2">
        <v>0.10199999999999999</v>
      </c>
      <c r="H68" s="2">
        <v>20</v>
      </c>
      <c r="I68" s="2">
        <v>99</v>
      </c>
      <c r="J68" s="2">
        <v>19.010000000000002</v>
      </c>
      <c r="K68" s="2">
        <v>1</v>
      </c>
      <c r="L68" s="2">
        <v>3.2</v>
      </c>
      <c r="M68" s="2">
        <v>685379.08</v>
      </c>
      <c r="N68" s="2">
        <v>106898.82</v>
      </c>
    </row>
    <row r="69" spans="1:14">
      <c r="A69" s="2" t="s">
        <v>38</v>
      </c>
      <c r="B69" s="3">
        <v>45748</v>
      </c>
      <c r="C69" s="2" t="s">
        <v>27</v>
      </c>
      <c r="D69" s="2" t="s">
        <v>18</v>
      </c>
      <c r="E69" s="2">
        <v>42018.400000000001</v>
      </c>
      <c r="F69" s="2">
        <v>8296</v>
      </c>
      <c r="G69" s="2">
        <v>0.115</v>
      </c>
      <c r="H69" s="2">
        <v>17</v>
      </c>
      <c r="I69" s="2">
        <v>91.8</v>
      </c>
      <c r="J69" s="2">
        <v>0.77</v>
      </c>
      <c r="K69" s="2">
        <v>0</v>
      </c>
      <c r="L69" s="2">
        <v>3.4</v>
      </c>
      <c r="M69" s="2">
        <v>740496.65</v>
      </c>
      <c r="N69" s="2">
        <v>128020.9</v>
      </c>
    </row>
    <row r="70" spans="1:14">
      <c r="A70" s="2" t="s">
        <v>39</v>
      </c>
      <c r="B70" s="3">
        <v>45658</v>
      </c>
      <c r="C70" s="2" t="s">
        <v>15</v>
      </c>
      <c r="D70" s="2" t="s">
        <v>18</v>
      </c>
      <c r="E70" s="2">
        <v>70937.240000000005</v>
      </c>
      <c r="F70" s="2">
        <v>3595</v>
      </c>
      <c r="G70" s="2">
        <v>0.14099999999999999</v>
      </c>
      <c r="H70" s="2">
        <v>11</v>
      </c>
      <c r="I70" s="2">
        <v>88.9</v>
      </c>
      <c r="J70" s="2">
        <v>2.83</v>
      </c>
      <c r="K70" s="2">
        <v>1</v>
      </c>
      <c r="L70" s="2">
        <v>3.3</v>
      </c>
      <c r="M70" s="2">
        <v>661927.14</v>
      </c>
      <c r="N70" s="2">
        <v>79218.570000000007</v>
      </c>
    </row>
    <row r="71" spans="1:14">
      <c r="A71" s="2" t="s">
        <v>39</v>
      </c>
      <c r="B71" s="3">
        <v>45689</v>
      </c>
      <c r="C71" s="2" t="s">
        <v>15</v>
      </c>
      <c r="D71" s="2" t="s">
        <v>18</v>
      </c>
      <c r="E71" s="2">
        <v>36813.449999999997</v>
      </c>
      <c r="F71" s="2">
        <v>2834</v>
      </c>
      <c r="G71" s="2">
        <v>0.191</v>
      </c>
      <c r="H71" s="2">
        <v>11</v>
      </c>
      <c r="I71" s="2">
        <v>81.8</v>
      </c>
      <c r="J71" s="2">
        <v>2.33</v>
      </c>
      <c r="K71" s="2">
        <v>0</v>
      </c>
      <c r="L71" s="2">
        <v>3.3</v>
      </c>
      <c r="M71" s="2">
        <v>479050.5</v>
      </c>
      <c r="N71" s="2">
        <v>53651.11</v>
      </c>
    </row>
    <row r="72" spans="1:14">
      <c r="A72" s="2" t="s">
        <v>39</v>
      </c>
      <c r="B72" s="3">
        <v>45717</v>
      </c>
      <c r="C72" s="2" t="s">
        <v>15</v>
      </c>
      <c r="D72" s="2" t="s">
        <v>18</v>
      </c>
      <c r="E72" s="2">
        <v>60571.82</v>
      </c>
      <c r="F72" s="2">
        <v>3193</v>
      </c>
      <c r="G72" s="2">
        <v>0.19700000000000001</v>
      </c>
      <c r="H72" s="2">
        <v>7</v>
      </c>
      <c r="I72" s="2">
        <v>99</v>
      </c>
      <c r="J72" s="2">
        <v>1.43</v>
      </c>
      <c r="K72" s="2">
        <v>0</v>
      </c>
      <c r="L72" s="2">
        <v>3.2</v>
      </c>
      <c r="M72" s="2">
        <v>605023.87</v>
      </c>
      <c r="N72" s="2">
        <v>98545.81</v>
      </c>
    </row>
    <row r="73" spans="1:14">
      <c r="A73" s="2" t="s">
        <v>39</v>
      </c>
      <c r="B73" s="3">
        <v>45748</v>
      </c>
      <c r="C73" s="2" t="s">
        <v>15</v>
      </c>
      <c r="D73" s="2" t="s">
        <v>18</v>
      </c>
      <c r="E73" s="2">
        <v>55081.16</v>
      </c>
      <c r="F73" s="2">
        <v>5485</v>
      </c>
      <c r="G73" s="2">
        <v>3.5999999999999997E-2</v>
      </c>
      <c r="H73" s="2">
        <v>12</v>
      </c>
      <c r="I73" s="2">
        <v>88</v>
      </c>
      <c r="J73" s="2">
        <v>3.3650000000000002</v>
      </c>
      <c r="K73" s="2">
        <v>0</v>
      </c>
      <c r="L73" s="2">
        <v>3.5</v>
      </c>
      <c r="M73" s="2">
        <v>674774.09</v>
      </c>
      <c r="N73" s="2">
        <v>141917.59</v>
      </c>
    </row>
    <row r="74" spans="1:14">
      <c r="A74" s="2" t="s">
        <v>40</v>
      </c>
      <c r="B74" s="3">
        <v>45658</v>
      </c>
      <c r="C74" s="2" t="s">
        <v>15</v>
      </c>
      <c r="D74" s="2" t="s">
        <v>16</v>
      </c>
      <c r="E74" s="2">
        <v>46201.46</v>
      </c>
      <c r="F74" s="2">
        <v>5918</v>
      </c>
      <c r="G74" s="2">
        <v>0.27700000000000002</v>
      </c>
      <c r="H74" s="2">
        <v>13</v>
      </c>
      <c r="I74" s="2">
        <v>78.8</v>
      </c>
      <c r="J74" s="2">
        <v>4.91</v>
      </c>
      <c r="K74" s="2">
        <v>0</v>
      </c>
      <c r="L74" s="2">
        <v>4.5</v>
      </c>
      <c r="M74" s="2">
        <v>616069.41</v>
      </c>
      <c r="N74" s="2">
        <v>54453.99</v>
      </c>
    </row>
    <row r="75" spans="1:14">
      <c r="A75" s="2" t="s">
        <v>40</v>
      </c>
      <c r="B75" s="3">
        <v>45689</v>
      </c>
      <c r="C75" s="2" t="s">
        <v>15</v>
      </c>
      <c r="D75" s="2" t="s">
        <v>16</v>
      </c>
      <c r="E75" s="2">
        <v>53762.92</v>
      </c>
      <c r="F75" s="2">
        <v>6821</v>
      </c>
      <c r="G75" s="2">
        <v>6.6000000000000003E-2</v>
      </c>
      <c r="H75" s="2">
        <v>19</v>
      </c>
      <c r="I75" s="2">
        <v>94.6</v>
      </c>
      <c r="J75" s="2">
        <v>7.03</v>
      </c>
      <c r="K75" s="2">
        <v>0</v>
      </c>
      <c r="L75" s="2">
        <v>4.4000000000000004</v>
      </c>
      <c r="M75" s="2">
        <v>630829.93999999994</v>
      </c>
      <c r="N75" s="2">
        <v>117090.02</v>
      </c>
    </row>
    <row r="76" spans="1:14">
      <c r="A76" s="2" t="s">
        <v>40</v>
      </c>
      <c r="B76" s="3">
        <v>45717</v>
      </c>
      <c r="C76" s="2" t="s">
        <v>15</v>
      </c>
      <c r="D76" s="2" t="s">
        <v>16</v>
      </c>
      <c r="E76" s="2">
        <v>70144.78</v>
      </c>
      <c r="F76" s="2">
        <v>6806</v>
      </c>
      <c r="G76" s="2">
        <v>0.17799999999999999</v>
      </c>
      <c r="H76" s="2">
        <v>20</v>
      </c>
      <c r="I76" s="2">
        <v>93.1</v>
      </c>
      <c r="J76" s="2">
        <v>0.28000000000000003</v>
      </c>
      <c r="K76" s="2">
        <v>1</v>
      </c>
      <c r="L76" s="2">
        <v>4.3</v>
      </c>
      <c r="M76" s="2">
        <v>788087.68</v>
      </c>
      <c r="N76" s="2">
        <v>116803.42</v>
      </c>
    </row>
    <row r="77" spans="1:14">
      <c r="A77" s="2" t="s">
        <v>40</v>
      </c>
      <c r="B77" s="3">
        <v>45748</v>
      </c>
      <c r="C77" s="2" t="s">
        <v>15</v>
      </c>
      <c r="D77" s="2" t="s">
        <v>16</v>
      </c>
      <c r="E77" s="2">
        <v>58749.63</v>
      </c>
      <c r="F77" s="2">
        <v>8252</v>
      </c>
      <c r="G77" s="2">
        <v>0.20300000000000001</v>
      </c>
      <c r="H77" s="2">
        <v>20</v>
      </c>
      <c r="I77" s="2">
        <v>85.2</v>
      </c>
      <c r="J77" s="2">
        <v>3.61</v>
      </c>
      <c r="K77" s="2">
        <v>0</v>
      </c>
      <c r="L77" s="2">
        <v>4.5</v>
      </c>
      <c r="M77" s="2">
        <v>680840.36</v>
      </c>
      <c r="N77" s="2">
        <v>68007.679999999993</v>
      </c>
    </row>
    <row r="78" spans="1:14">
      <c r="A78" s="2" t="s">
        <v>41</v>
      </c>
      <c r="B78" s="3">
        <v>45658</v>
      </c>
      <c r="C78" s="2" t="s">
        <v>24</v>
      </c>
      <c r="D78" s="2" t="s">
        <v>18</v>
      </c>
      <c r="E78" s="2">
        <v>56973.18</v>
      </c>
      <c r="F78" s="2">
        <v>6662</v>
      </c>
      <c r="G78" s="2">
        <v>0.1</v>
      </c>
      <c r="H78" s="2">
        <v>15</v>
      </c>
      <c r="I78" s="2">
        <v>77.7</v>
      </c>
      <c r="J78" s="2">
        <v>7.52</v>
      </c>
      <c r="K78" s="2">
        <v>1</v>
      </c>
      <c r="L78" s="2">
        <v>3.2</v>
      </c>
      <c r="M78" s="2">
        <v>643657.47</v>
      </c>
      <c r="N78" s="2">
        <v>87022.45</v>
      </c>
    </row>
    <row r="79" spans="1:14">
      <c r="A79" s="2" t="s">
        <v>41</v>
      </c>
      <c r="B79" s="3">
        <v>45689</v>
      </c>
      <c r="C79" s="2" t="s">
        <v>24</v>
      </c>
      <c r="D79" s="2" t="s">
        <v>18</v>
      </c>
      <c r="E79" s="2">
        <v>54872.82</v>
      </c>
      <c r="F79" s="2">
        <v>5962</v>
      </c>
      <c r="G79" s="2">
        <v>6.4000000000000001E-2</v>
      </c>
      <c r="H79" s="2">
        <v>12</v>
      </c>
      <c r="I79" s="2">
        <v>85.4</v>
      </c>
      <c r="J79" s="2">
        <v>2.58</v>
      </c>
      <c r="K79" s="2">
        <v>0</v>
      </c>
      <c r="L79" s="2">
        <v>2.9</v>
      </c>
      <c r="M79" s="2">
        <v>691112.6</v>
      </c>
      <c r="N79" s="2">
        <v>109212.83</v>
      </c>
    </row>
    <row r="80" spans="1:14">
      <c r="A80" s="2" t="s">
        <v>41</v>
      </c>
      <c r="B80" s="3">
        <v>45717</v>
      </c>
      <c r="C80" s="2" t="s">
        <v>24</v>
      </c>
      <c r="D80" s="2" t="s">
        <v>18</v>
      </c>
      <c r="E80" s="2">
        <v>80562.81</v>
      </c>
      <c r="F80" s="2">
        <v>7470</v>
      </c>
      <c r="G80" s="2">
        <v>0.17199999999999999</v>
      </c>
      <c r="H80" s="2">
        <v>16</v>
      </c>
      <c r="I80" s="2">
        <v>83.5</v>
      </c>
      <c r="J80" s="2">
        <v>2.29</v>
      </c>
      <c r="K80" s="2">
        <v>0</v>
      </c>
      <c r="L80" s="2">
        <v>3.3</v>
      </c>
      <c r="M80" s="2">
        <v>776922.17</v>
      </c>
      <c r="N80" s="2">
        <v>150701.93</v>
      </c>
    </row>
    <row r="81" spans="1:14">
      <c r="A81" s="2" t="s">
        <v>41</v>
      </c>
      <c r="B81" s="3">
        <v>45748</v>
      </c>
      <c r="C81" s="2" t="s">
        <v>24</v>
      </c>
      <c r="D81" s="2" t="s">
        <v>18</v>
      </c>
      <c r="E81" s="2">
        <v>77999.899999999994</v>
      </c>
      <c r="F81" s="2">
        <v>5974</v>
      </c>
      <c r="G81" s="2">
        <v>0.252</v>
      </c>
      <c r="H81" s="2">
        <v>14</v>
      </c>
      <c r="I81" s="2">
        <v>81.3</v>
      </c>
      <c r="J81" s="2">
        <v>2.39</v>
      </c>
      <c r="K81" s="2">
        <v>0</v>
      </c>
      <c r="L81" s="2">
        <v>3.2</v>
      </c>
      <c r="M81" s="2">
        <v>636561.34</v>
      </c>
      <c r="N81" s="2">
        <v>93861.06</v>
      </c>
    </row>
    <row r="82" spans="1:14">
      <c r="A82" s="2" t="s">
        <v>42</v>
      </c>
      <c r="B82" s="3">
        <v>45658</v>
      </c>
      <c r="C82" s="2" t="s">
        <v>27</v>
      </c>
      <c r="D82" s="2" t="s">
        <v>28</v>
      </c>
      <c r="E82" s="2">
        <v>60881.01</v>
      </c>
      <c r="F82" s="2">
        <v>5410</v>
      </c>
      <c r="G82" s="2">
        <v>0.17899999999999999</v>
      </c>
      <c r="H82" s="2">
        <v>15</v>
      </c>
      <c r="I82" s="2">
        <v>83.9</v>
      </c>
      <c r="J82" s="2">
        <v>5.24</v>
      </c>
      <c r="K82" s="2">
        <v>0</v>
      </c>
      <c r="L82" s="2">
        <v>4.5999999999999996</v>
      </c>
      <c r="M82" s="2">
        <v>621369.57999999996</v>
      </c>
      <c r="N82" s="2">
        <v>85493.64</v>
      </c>
    </row>
    <row r="83" spans="1:14">
      <c r="A83" s="2" t="s">
        <v>42</v>
      </c>
      <c r="B83" s="3">
        <v>45689</v>
      </c>
      <c r="C83" s="2" t="s">
        <v>27</v>
      </c>
      <c r="D83" s="2" t="s">
        <v>28</v>
      </c>
      <c r="E83" s="2">
        <v>60628.38</v>
      </c>
      <c r="F83" s="2">
        <v>4451</v>
      </c>
      <c r="G83" s="2">
        <v>9.5000000000000001E-2</v>
      </c>
      <c r="H83" s="2">
        <v>10</v>
      </c>
      <c r="I83" s="2">
        <v>89.6</v>
      </c>
      <c r="J83" s="2">
        <v>3.17</v>
      </c>
      <c r="K83" s="2">
        <v>0</v>
      </c>
      <c r="L83" s="2">
        <v>4.5999999999999996</v>
      </c>
      <c r="M83" s="2">
        <v>682208.01</v>
      </c>
      <c r="N83" s="2">
        <v>110318.84</v>
      </c>
    </row>
    <row r="84" spans="1:14">
      <c r="A84" s="2" t="s">
        <v>42</v>
      </c>
      <c r="B84" s="3">
        <v>45717</v>
      </c>
      <c r="C84" s="2" t="s">
        <v>27</v>
      </c>
      <c r="D84" s="2" t="s">
        <v>28</v>
      </c>
      <c r="E84" s="2">
        <v>72731.14</v>
      </c>
      <c r="F84" s="2">
        <v>4644</v>
      </c>
      <c r="G84" s="2">
        <v>8.4000000000000005E-2</v>
      </c>
      <c r="H84" s="2">
        <v>15</v>
      </c>
      <c r="I84" s="2">
        <v>87.1</v>
      </c>
      <c r="J84" s="2">
        <v>2.66</v>
      </c>
      <c r="K84" s="2">
        <v>0</v>
      </c>
      <c r="L84" s="2">
        <v>4.5999999999999996</v>
      </c>
      <c r="M84" s="2">
        <v>727241.86</v>
      </c>
      <c r="N84" s="2">
        <v>155810.29999999999</v>
      </c>
    </row>
    <row r="85" spans="1:14">
      <c r="A85" s="2" t="s">
        <v>42</v>
      </c>
      <c r="B85" s="3">
        <v>45748</v>
      </c>
      <c r="C85" s="2" t="s">
        <v>27</v>
      </c>
      <c r="D85" s="2" t="s">
        <v>28</v>
      </c>
      <c r="E85" s="2">
        <v>36475.71</v>
      </c>
      <c r="F85" s="2">
        <v>3559</v>
      </c>
      <c r="G85" s="2">
        <v>0.03</v>
      </c>
      <c r="H85" s="2">
        <v>8</v>
      </c>
      <c r="I85" s="2">
        <v>83.6</v>
      </c>
      <c r="J85" s="2">
        <v>1.41</v>
      </c>
      <c r="K85" s="2">
        <v>0</v>
      </c>
      <c r="L85" s="2">
        <v>4.2</v>
      </c>
      <c r="M85" s="2">
        <v>569100.78</v>
      </c>
      <c r="N85" s="2">
        <v>104808.78</v>
      </c>
    </row>
    <row r="86" spans="1:14">
      <c r="A86" s="2" t="s">
        <v>43</v>
      </c>
      <c r="B86" s="3">
        <v>45658</v>
      </c>
      <c r="C86" s="2" t="s">
        <v>27</v>
      </c>
      <c r="D86" s="2" t="s">
        <v>18</v>
      </c>
      <c r="E86" s="2">
        <v>55388.11</v>
      </c>
      <c r="F86" s="2">
        <v>3091</v>
      </c>
      <c r="G86" s="2">
        <v>0.108</v>
      </c>
      <c r="H86" s="2">
        <v>7</v>
      </c>
      <c r="I86" s="2">
        <v>85.4</v>
      </c>
      <c r="J86" s="2">
        <v>7.34</v>
      </c>
      <c r="K86" s="2">
        <v>0</v>
      </c>
      <c r="L86" s="2">
        <v>4.9000000000000004</v>
      </c>
      <c r="M86" s="2">
        <v>574436.29</v>
      </c>
      <c r="N86" s="2">
        <v>80271.990000000005</v>
      </c>
    </row>
    <row r="87" spans="1:14">
      <c r="A87" s="2" t="s">
        <v>43</v>
      </c>
      <c r="B87" s="3">
        <v>45689</v>
      </c>
      <c r="C87" s="2" t="s">
        <v>27</v>
      </c>
      <c r="D87" s="2" t="s">
        <v>18</v>
      </c>
      <c r="E87" s="2">
        <v>88443.77</v>
      </c>
      <c r="F87" s="2">
        <v>4004</v>
      </c>
      <c r="G87" s="2">
        <v>0.20599999999999999</v>
      </c>
      <c r="H87" s="2">
        <v>11</v>
      </c>
      <c r="I87" s="2">
        <v>91.9</v>
      </c>
      <c r="J87" s="2">
        <v>5.95</v>
      </c>
      <c r="K87" s="2">
        <v>0</v>
      </c>
      <c r="L87" s="4">
        <v>3.9</v>
      </c>
      <c r="M87" s="2">
        <v>611766.72</v>
      </c>
      <c r="N87" s="2">
        <v>88275.61</v>
      </c>
    </row>
    <row r="88" spans="1:14">
      <c r="A88" s="2" t="s">
        <v>43</v>
      </c>
      <c r="B88" s="3">
        <v>45717</v>
      </c>
      <c r="C88" s="2" t="s">
        <v>27</v>
      </c>
      <c r="D88" s="2" t="s">
        <v>18</v>
      </c>
      <c r="E88" s="2">
        <v>78231.91</v>
      </c>
      <c r="F88" s="2">
        <v>3788</v>
      </c>
      <c r="G88" s="2">
        <v>5.8999999999999997E-2</v>
      </c>
      <c r="H88" s="2">
        <v>11</v>
      </c>
      <c r="I88" s="2">
        <v>88.5</v>
      </c>
      <c r="J88" s="2">
        <v>15.51</v>
      </c>
      <c r="K88" s="2">
        <v>0</v>
      </c>
      <c r="L88" s="2">
        <v>4.3</v>
      </c>
      <c r="M88" s="2">
        <v>614596.31999999995</v>
      </c>
      <c r="N88" s="2">
        <v>131199.41</v>
      </c>
    </row>
    <row r="89" spans="1:14">
      <c r="A89" s="2" t="s">
        <v>43</v>
      </c>
      <c r="B89" s="3">
        <v>45748</v>
      </c>
      <c r="C89" s="2" t="s">
        <v>27</v>
      </c>
      <c r="D89" s="2" t="s">
        <v>18</v>
      </c>
      <c r="E89" s="2">
        <v>18996.32</v>
      </c>
      <c r="F89" s="2">
        <v>1260</v>
      </c>
      <c r="G89" s="2">
        <v>0.14499999999999999</v>
      </c>
      <c r="H89" s="2">
        <v>9</v>
      </c>
      <c r="I89" s="2">
        <v>86.4</v>
      </c>
      <c r="J89" s="2">
        <v>4.3099999999999996</v>
      </c>
      <c r="K89" s="2">
        <v>0</v>
      </c>
      <c r="L89" s="2">
        <v>4.5999999999999996</v>
      </c>
      <c r="M89" s="2">
        <v>450711.92</v>
      </c>
      <c r="N89" s="2">
        <v>90043.76</v>
      </c>
    </row>
    <row r="90" spans="1:14">
      <c r="A90" s="2" t="s">
        <v>44</v>
      </c>
      <c r="B90" s="3">
        <v>45658</v>
      </c>
      <c r="C90" s="2" t="s">
        <v>24</v>
      </c>
      <c r="D90" s="2" t="s">
        <v>28</v>
      </c>
      <c r="E90" s="2">
        <v>50517.94</v>
      </c>
      <c r="F90" s="2">
        <v>7024</v>
      </c>
      <c r="G90" s="2">
        <v>2.9000000000000001E-2</v>
      </c>
      <c r="H90" s="2">
        <v>18</v>
      </c>
      <c r="I90" s="2">
        <v>79.2</v>
      </c>
      <c r="J90" s="2">
        <v>6.61</v>
      </c>
      <c r="K90" s="2">
        <v>1</v>
      </c>
      <c r="L90" s="2">
        <v>4.0999999999999996</v>
      </c>
      <c r="M90" s="2">
        <v>711213.46</v>
      </c>
      <c r="N90" s="2">
        <v>105863.26</v>
      </c>
    </row>
    <row r="91" spans="1:14">
      <c r="A91" s="2" t="s">
        <v>44</v>
      </c>
      <c r="B91" s="3">
        <v>45689</v>
      </c>
      <c r="C91" s="2" t="s">
        <v>24</v>
      </c>
      <c r="D91" s="2" t="s">
        <v>28</v>
      </c>
      <c r="E91" s="2">
        <v>141540.29</v>
      </c>
      <c r="F91" s="2">
        <v>5400</v>
      </c>
      <c r="G91" s="2">
        <v>1.2999999999999999E-2</v>
      </c>
      <c r="H91" s="2">
        <v>12</v>
      </c>
      <c r="I91" s="2">
        <v>87</v>
      </c>
      <c r="J91" s="2">
        <v>4.26</v>
      </c>
      <c r="K91" s="2">
        <v>0</v>
      </c>
      <c r="L91" s="2">
        <v>4.5</v>
      </c>
      <c r="M91" s="2">
        <v>627171.9</v>
      </c>
      <c r="N91" s="2">
        <v>105772.75</v>
      </c>
    </row>
    <row r="92" spans="1:14">
      <c r="A92" s="2" t="s">
        <v>44</v>
      </c>
      <c r="B92" s="3">
        <v>45717</v>
      </c>
      <c r="C92" s="2" t="s">
        <v>24</v>
      </c>
      <c r="D92" s="2" t="s">
        <v>28</v>
      </c>
      <c r="E92" s="2">
        <v>82116.19</v>
      </c>
      <c r="F92" s="2">
        <v>5988</v>
      </c>
      <c r="G92" s="2">
        <v>0.04</v>
      </c>
      <c r="H92" s="2">
        <v>17</v>
      </c>
      <c r="I92" s="2">
        <v>91.8</v>
      </c>
      <c r="J92" s="2">
        <v>5.75</v>
      </c>
      <c r="K92" s="2">
        <v>0</v>
      </c>
      <c r="L92" s="2">
        <v>4.7</v>
      </c>
      <c r="M92" s="2">
        <v>739852.58</v>
      </c>
      <c r="N92" s="2">
        <v>129386.43</v>
      </c>
    </row>
    <row r="93" spans="1:14">
      <c r="A93" s="2" t="s">
        <v>44</v>
      </c>
      <c r="B93" s="3">
        <v>45748</v>
      </c>
      <c r="C93" s="2" t="s">
        <v>24</v>
      </c>
      <c r="D93" s="2" t="s">
        <v>28</v>
      </c>
      <c r="E93" s="2">
        <v>31207.51</v>
      </c>
      <c r="F93" s="2">
        <v>3701</v>
      </c>
      <c r="G93" s="2">
        <v>4.2999999999999997E-2</v>
      </c>
      <c r="H93" s="2">
        <v>11</v>
      </c>
      <c r="I93" s="2">
        <v>84.7</v>
      </c>
      <c r="J93" s="2">
        <v>0.33</v>
      </c>
      <c r="K93" s="2">
        <v>0</v>
      </c>
      <c r="L93" s="2">
        <v>4.3</v>
      </c>
      <c r="M93" s="2">
        <v>586307.22</v>
      </c>
      <c r="N93" s="2">
        <v>73927.850000000006</v>
      </c>
    </row>
    <row r="94" spans="1:14">
      <c r="A94" s="2" t="s">
        <v>45</v>
      </c>
      <c r="B94" s="3">
        <v>45658</v>
      </c>
      <c r="C94" s="2" t="s">
        <v>27</v>
      </c>
      <c r="D94" s="2" t="s">
        <v>16</v>
      </c>
      <c r="E94" s="2">
        <v>38966.589999999997</v>
      </c>
      <c r="F94" s="2">
        <v>4509</v>
      </c>
      <c r="G94" s="2">
        <v>0.19400000000000001</v>
      </c>
      <c r="H94" s="2">
        <v>14</v>
      </c>
      <c r="I94" s="2">
        <v>91.1</v>
      </c>
      <c r="J94" s="2">
        <v>2.92</v>
      </c>
      <c r="K94" s="2">
        <v>0</v>
      </c>
      <c r="L94" s="2">
        <v>4.5999999999999996</v>
      </c>
      <c r="M94" s="2">
        <v>585937.48</v>
      </c>
      <c r="N94" s="2">
        <v>82624.2</v>
      </c>
    </row>
    <row r="95" spans="1:14">
      <c r="A95" s="2" t="s">
        <v>45</v>
      </c>
      <c r="B95" s="3">
        <v>45689</v>
      </c>
      <c r="C95" s="2" t="s">
        <v>27</v>
      </c>
      <c r="D95" s="2" t="s">
        <v>16</v>
      </c>
      <c r="E95" s="2">
        <v>67439.3</v>
      </c>
      <c r="F95" s="2">
        <v>6477</v>
      </c>
      <c r="G95" s="2">
        <v>0</v>
      </c>
      <c r="H95" s="2">
        <v>16</v>
      </c>
      <c r="I95" s="2">
        <v>90.9</v>
      </c>
      <c r="J95" s="2">
        <v>1.64</v>
      </c>
      <c r="K95" s="2">
        <v>0</v>
      </c>
      <c r="L95" s="2">
        <v>4.5</v>
      </c>
      <c r="M95" s="2">
        <v>753473.55</v>
      </c>
      <c r="N95" s="2">
        <v>151527.22</v>
      </c>
    </row>
    <row r="96" spans="1:14">
      <c r="A96" s="2" t="s">
        <v>45</v>
      </c>
      <c r="B96" s="3">
        <v>45717</v>
      </c>
      <c r="C96" s="2" t="s">
        <v>27</v>
      </c>
      <c r="D96" s="2" t="s">
        <v>16</v>
      </c>
      <c r="E96" s="2">
        <v>86421.88</v>
      </c>
      <c r="F96" s="2">
        <v>7970</v>
      </c>
      <c r="G96" s="2">
        <v>7.2999999999999995E-2</v>
      </c>
      <c r="H96" s="2">
        <v>17</v>
      </c>
      <c r="I96" s="2">
        <v>91.3</v>
      </c>
      <c r="J96" s="2">
        <v>0.8</v>
      </c>
      <c r="K96" s="2">
        <v>0</v>
      </c>
      <c r="L96" s="2">
        <v>5</v>
      </c>
      <c r="M96" s="2">
        <v>838250.32</v>
      </c>
      <c r="N96" s="2">
        <v>122939.34</v>
      </c>
    </row>
    <row r="97" spans="1:14">
      <c r="A97" s="2" t="s">
        <v>45</v>
      </c>
      <c r="B97" s="3">
        <v>45748</v>
      </c>
      <c r="C97" s="2" t="s">
        <v>27</v>
      </c>
      <c r="D97" s="2" t="s">
        <v>16</v>
      </c>
      <c r="E97" s="2">
        <v>9534.65</v>
      </c>
      <c r="F97" s="2">
        <v>6057</v>
      </c>
      <c r="G97" s="2">
        <v>7.3999999999999996E-2</v>
      </c>
      <c r="H97" s="2">
        <v>15</v>
      </c>
      <c r="I97" s="2">
        <v>94.1</v>
      </c>
      <c r="J97" s="2">
        <v>5.79</v>
      </c>
      <c r="K97" s="2">
        <v>0</v>
      </c>
      <c r="L97" s="2">
        <v>4.5</v>
      </c>
      <c r="M97" s="2">
        <v>607898.12</v>
      </c>
      <c r="N97" s="2">
        <v>135404.85</v>
      </c>
    </row>
    <row r="98" spans="1:14">
      <c r="A98" s="2" t="s">
        <v>46</v>
      </c>
      <c r="B98" s="3">
        <v>45658</v>
      </c>
      <c r="C98" s="2" t="s">
        <v>27</v>
      </c>
      <c r="D98" s="2" t="s">
        <v>28</v>
      </c>
      <c r="E98" s="2">
        <v>61132.07</v>
      </c>
      <c r="F98" s="2">
        <v>6394</v>
      </c>
      <c r="G98" s="2">
        <v>0.16300000000000001</v>
      </c>
      <c r="H98" s="2">
        <v>19</v>
      </c>
      <c r="I98" s="2">
        <v>91</v>
      </c>
      <c r="J98" s="2">
        <v>19.600000000000001</v>
      </c>
      <c r="K98" s="2">
        <v>0</v>
      </c>
      <c r="L98" s="2">
        <v>4.4000000000000004</v>
      </c>
      <c r="M98" s="2">
        <v>691113.62</v>
      </c>
      <c r="N98" s="2">
        <v>135145.44</v>
      </c>
    </row>
    <row r="99" spans="1:14">
      <c r="A99" s="2" t="s">
        <v>46</v>
      </c>
      <c r="B99" s="3">
        <v>45689</v>
      </c>
      <c r="C99" s="2" t="s">
        <v>27</v>
      </c>
      <c r="D99" s="2" t="s">
        <v>28</v>
      </c>
      <c r="E99" s="2">
        <v>78839.39</v>
      </c>
      <c r="F99" s="2">
        <v>5150</v>
      </c>
      <c r="G99" s="2">
        <v>0.17100000000000001</v>
      </c>
      <c r="H99" s="2">
        <v>13</v>
      </c>
      <c r="I99" s="2">
        <v>85.8</v>
      </c>
      <c r="J99" s="2">
        <v>7.57</v>
      </c>
      <c r="K99" s="2">
        <v>0</v>
      </c>
      <c r="L99" s="2">
        <v>4.3</v>
      </c>
      <c r="M99" s="2">
        <v>735509.4</v>
      </c>
      <c r="N99" s="2">
        <v>83895.96</v>
      </c>
    </row>
    <row r="100" spans="1:14">
      <c r="A100" s="2" t="s">
        <v>46</v>
      </c>
      <c r="B100" s="3">
        <v>45717</v>
      </c>
      <c r="C100" s="2" t="s">
        <v>27</v>
      </c>
      <c r="D100" s="2" t="s">
        <v>28</v>
      </c>
      <c r="E100" s="2">
        <v>38752.800000000003</v>
      </c>
      <c r="F100" s="2">
        <v>4712</v>
      </c>
      <c r="G100" s="2">
        <v>7.4999999999999997E-2</v>
      </c>
      <c r="H100" s="2">
        <v>15</v>
      </c>
      <c r="I100" s="2">
        <v>89.7</v>
      </c>
      <c r="J100" s="2">
        <v>3.3650000000000002</v>
      </c>
      <c r="K100" s="2">
        <v>0</v>
      </c>
      <c r="L100" s="2">
        <v>4.3</v>
      </c>
      <c r="M100" s="2">
        <v>605775.32999999996</v>
      </c>
      <c r="N100" s="2">
        <v>107194.6</v>
      </c>
    </row>
    <row r="101" spans="1:14">
      <c r="A101" s="2" t="s">
        <v>46</v>
      </c>
      <c r="B101" s="3">
        <v>45748</v>
      </c>
      <c r="C101" s="2" t="s">
        <v>27</v>
      </c>
      <c r="D101" s="2" t="s">
        <v>28</v>
      </c>
      <c r="E101" s="2">
        <v>55101.1</v>
      </c>
      <c r="F101" s="2">
        <v>5281</v>
      </c>
      <c r="G101" s="2">
        <v>0.189</v>
      </c>
      <c r="H101" s="2">
        <v>11</v>
      </c>
      <c r="I101" s="2">
        <v>91</v>
      </c>
      <c r="J101" s="2">
        <v>2.7</v>
      </c>
      <c r="K101" s="2">
        <v>0</v>
      </c>
      <c r="L101" s="2">
        <v>4.4000000000000004</v>
      </c>
      <c r="M101" s="2">
        <v>675177.68</v>
      </c>
      <c r="N101" s="2">
        <v>105628.68</v>
      </c>
    </row>
    <row r="102" spans="1:14">
      <c r="A102" s="2" t="s">
        <v>47</v>
      </c>
      <c r="B102" s="3">
        <v>45658</v>
      </c>
      <c r="C102" s="2" t="s">
        <v>15</v>
      </c>
      <c r="D102" s="2" t="s">
        <v>28</v>
      </c>
      <c r="E102" s="2">
        <v>53084.76</v>
      </c>
      <c r="F102" s="2">
        <v>3642</v>
      </c>
      <c r="G102" s="2">
        <v>0.15</v>
      </c>
      <c r="H102" s="2">
        <v>12</v>
      </c>
      <c r="I102" s="2">
        <v>91.4</v>
      </c>
      <c r="J102" s="2">
        <v>0.2</v>
      </c>
      <c r="K102" s="2">
        <v>0</v>
      </c>
      <c r="L102" s="2">
        <v>4.4000000000000004</v>
      </c>
      <c r="M102" s="2">
        <v>635181.35</v>
      </c>
      <c r="N102" s="2">
        <v>83341.25</v>
      </c>
    </row>
    <row r="103" spans="1:14">
      <c r="A103" s="2" t="s">
        <v>47</v>
      </c>
      <c r="B103" s="3">
        <v>45689</v>
      </c>
      <c r="C103" s="2" t="s">
        <v>15</v>
      </c>
      <c r="D103" s="2" t="s">
        <v>28</v>
      </c>
      <c r="E103" s="2">
        <v>63101.59</v>
      </c>
      <c r="F103" s="2">
        <v>4373</v>
      </c>
      <c r="G103" s="2">
        <v>0.17299999999999999</v>
      </c>
      <c r="H103" s="2">
        <v>14</v>
      </c>
      <c r="I103" s="2">
        <v>90.4</v>
      </c>
      <c r="J103" s="2">
        <v>7.87</v>
      </c>
      <c r="K103" s="2">
        <v>0</v>
      </c>
      <c r="L103" s="2">
        <v>4.7</v>
      </c>
      <c r="M103" s="2">
        <v>586626.93999999994</v>
      </c>
      <c r="N103" s="2">
        <v>86498.55</v>
      </c>
    </row>
    <row r="104" spans="1:14">
      <c r="A104" s="2" t="s">
        <v>47</v>
      </c>
      <c r="B104" s="3">
        <v>45717</v>
      </c>
      <c r="C104" s="2" t="s">
        <v>15</v>
      </c>
      <c r="D104" s="2" t="s">
        <v>28</v>
      </c>
      <c r="E104" s="2">
        <v>90084.4</v>
      </c>
      <c r="F104" s="2">
        <v>6832</v>
      </c>
      <c r="G104" s="2">
        <v>0.185</v>
      </c>
      <c r="H104" s="2">
        <v>14</v>
      </c>
      <c r="I104" s="2">
        <v>80.5</v>
      </c>
      <c r="J104" s="2">
        <v>0.77</v>
      </c>
      <c r="K104" s="2">
        <v>1</v>
      </c>
      <c r="L104" s="2">
        <v>4.4000000000000004</v>
      </c>
      <c r="M104" s="2">
        <v>740102.64</v>
      </c>
      <c r="N104" s="2">
        <v>114299.07</v>
      </c>
    </row>
    <row r="105" spans="1:14">
      <c r="A105" s="2" t="s">
        <v>47</v>
      </c>
      <c r="B105" s="3">
        <v>45748</v>
      </c>
      <c r="C105" s="2" t="s">
        <v>15</v>
      </c>
      <c r="D105" s="2" t="s">
        <v>28</v>
      </c>
      <c r="E105" s="2">
        <v>32266.639999999999</v>
      </c>
      <c r="F105" s="2">
        <v>2414</v>
      </c>
      <c r="G105" s="2">
        <v>0.08</v>
      </c>
      <c r="H105" s="2">
        <v>7</v>
      </c>
      <c r="I105" s="2">
        <v>92.1</v>
      </c>
      <c r="J105" s="2">
        <v>1.48</v>
      </c>
      <c r="K105" s="2">
        <v>0</v>
      </c>
      <c r="L105" s="2">
        <v>5</v>
      </c>
      <c r="M105" s="2">
        <v>625514.04</v>
      </c>
      <c r="N105" s="2">
        <v>120685.08</v>
      </c>
    </row>
    <row r="106" spans="1:14">
      <c r="A106" s="2" t="s">
        <v>48</v>
      </c>
      <c r="B106" s="3">
        <v>45658</v>
      </c>
      <c r="C106" s="2" t="s">
        <v>27</v>
      </c>
      <c r="D106" s="2" t="s">
        <v>18</v>
      </c>
      <c r="E106" s="2">
        <v>57919.07</v>
      </c>
      <c r="F106" s="2">
        <v>7374</v>
      </c>
      <c r="G106" s="2">
        <v>0.10299999999999999</v>
      </c>
      <c r="H106" s="2">
        <v>21</v>
      </c>
      <c r="I106" s="2">
        <v>82.3</v>
      </c>
      <c r="J106" s="2">
        <v>2.87</v>
      </c>
      <c r="K106" s="2">
        <v>0</v>
      </c>
      <c r="L106" s="2">
        <v>2.9</v>
      </c>
      <c r="M106" s="2">
        <v>727227.2</v>
      </c>
      <c r="N106" s="2">
        <v>121292.01</v>
      </c>
    </row>
    <row r="107" spans="1:14">
      <c r="A107" s="2" t="s">
        <v>48</v>
      </c>
      <c r="B107" s="3">
        <v>45689</v>
      </c>
      <c r="C107" s="2" t="s">
        <v>27</v>
      </c>
      <c r="D107" s="2" t="s">
        <v>18</v>
      </c>
      <c r="E107" s="2">
        <v>74679.350000000006</v>
      </c>
      <c r="F107" s="2">
        <v>8739</v>
      </c>
      <c r="G107" s="2">
        <v>5.6000000000000001E-2</v>
      </c>
      <c r="H107" s="2">
        <v>21</v>
      </c>
      <c r="I107" s="2">
        <v>91.8</v>
      </c>
      <c r="J107" s="2">
        <v>2.83</v>
      </c>
      <c r="K107" s="2">
        <v>0</v>
      </c>
      <c r="L107" s="2">
        <v>3</v>
      </c>
      <c r="M107" s="2">
        <v>783797.89</v>
      </c>
      <c r="N107" s="2">
        <v>157620.70000000001</v>
      </c>
    </row>
    <row r="108" spans="1:14">
      <c r="A108" s="2" t="s">
        <v>48</v>
      </c>
      <c r="B108" s="3">
        <v>45717</v>
      </c>
      <c r="C108" s="2" t="s">
        <v>27</v>
      </c>
      <c r="D108" s="2" t="s">
        <v>18</v>
      </c>
      <c r="E108" s="2">
        <v>64294.23</v>
      </c>
      <c r="F108" s="2">
        <v>6992</v>
      </c>
      <c r="G108" s="2">
        <v>0.13300000000000001</v>
      </c>
      <c r="H108" s="2">
        <v>14</v>
      </c>
      <c r="I108" s="2">
        <v>94.1</v>
      </c>
      <c r="J108" s="2">
        <v>0.25</v>
      </c>
      <c r="K108" s="2">
        <v>0</v>
      </c>
      <c r="L108" s="2">
        <v>3</v>
      </c>
      <c r="M108" s="2">
        <v>795153.84</v>
      </c>
      <c r="N108" s="2">
        <v>143194.21</v>
      </c>
    </row>
    <row r="109" spans="1:14">
      <c r="A109" s="2" t="s">
        <v>48</v>
      </c>
      <c r="B109" s="3">
        <v>45748</v>
      </c>
      <c r="C109" s="2" t="s">
        <v>27</v>
      </c>
      <c r="D109" s="2" t="s">
        <v>18</v>
      </c>
      <c r="E109" s="2">
        <v>31042.03</v>
      </c>
      <c r="F109" s="2">
        <v>7107</v>
      </c>
      <c r="G109" s="2">
        <v>5.0999999999999997E-2</v>
      </c>
      <c r="H109" s="2">
        <v>15</v>
      </c>
      <c r="I109" s="2">
        <v>87</v>
      </c>
      <c r="J109" s="2">
        <v>13.33</v>
      </c>
      <c r="K109" s="2">
        <v>0</v>
      </c>
      <c r="L109" s="2">
        <v>3.2</v>
      </c>
      <c r="M109" s="2">
        <v>665594.93999999994</v>
      </c>
      <c r="N109" s="2">
        <v>127597.34</v>
      </c>
    </row>
    <row r="110" spans="1:14">
      <c r="A110" s="2" t="s">
        <v>49</v>
      </c>
      <c r="B110" s="3">
        <v>45658</v>
      </c>
      <c r="C110" s="2" t="s">
        <v>15</v>
      </c>
      <c r="D110" s="2" t="s">
        <v>28</v>
      </c>
      <c r="E110" s="2">
        <v>75265.02</v>
      </c>
      <c r="F110" s="2">
        <v>6975</v>
      </c>
      <c r="G110" s="2">
        <v>0.157</v>
      </c>
      <c r="H110" s="2">
        <v>20</v>
      </c>
      <c r="I110" s="2">
        <v>73.8</v>
      </c>
      <c r="J110" s="2">
        <v>6.35</v>
      </c>
      <c r="K110" s="2">
        <v>1</v>
      </c>
      <c r="L110" s="2">
        <v>3.8</v>
      </c>
      <c r="M110" s="2">
        <v>709478.39</v>
      </c>
      <c r="N110" s="2">
        <v>71294.27</v>
      </c>
    </row>
    <row r="111" spans="1:14">
      <c r="A111" s="2" t="s">
        <v>49</v>
      </c>
      <c r="B111" s="3">
        <v>45689</v>
      </c>
      <c r="C111" s="2" t="s">
        <v>15</v>
      </c>
      <c r="D111" s="2" t="s">
        <v>28</v>
      </c>
      <c r="E111" s="2">
        <v>69411.7</v>
      </c>
      <c r="F111" s="2">
        <v>5493</v>
      </c>
      <c r="G111" s="2">
        <v>0.29199999999999998</v>
      </c>
      <c r="H111" s="2">
        <v>13</v>
      </c>
      <c r="I111" s="2">
        <v>86.5</v>
      </c>
      <c r="J111" s="2">
        <v>6.69</v>
      </c>
      <c r="K111" s="2">
        <v>0</v>
      </c>
      <c r="L111" s="2">
        <v>3.8</v>
      </c>
      <c r="M111" s="2">
        <v>664162.49</v>
      </c>
      <c r="N111" s="2">
        <v>98291.06</v>
      </c>
    </row>
    <row r="112" spans="1:14">
      <c r="A112" s="2" t="s">
        <v>49</v>
      </c>
      <c r="B112" s="3">
        <v>45717</v>
      </c>
      <c r="C112" s="2" t="s">
        <v>15</v>
      </c>
      <c r="D112" s="2" t="s">
        <v>28</v>
      </c>
      <c r="E112" s="2">
        <v>51056.15</v>
      </c>
      <c r="F112" s="2">
        <v>5686</v>
      </c>
      <c r="G112" s="2">
        <v>8.8999999999999996E-2</v>
      </c>
      <c r="H112" s="2">
        <v>13</v>
      </c>
      <c r="I112" s="2">
        <v>89.9</v>
      </c>
      <c r="J112" s="2">
        <v>1.28</v>
      </c>
      <c r="K112" s="2">
        <v>0</v>
      </c>
      <c r="L112" s="2">
        <v>4.2</v>
      </c>
      <c r="M112" s="2">
        <v>633494.21</v>
      </c>
      <c r="N112" s="2">
        <v>105739.47</v>
      </c>
    </row>
    <row r="113" spans="1:14">
      <c r="A113" s="2" t="s">
        <v>49</v>
      </c>
      <c r="B113" s="3">
        <v>45748</v>
      </c>
      <c r="C113" s="2" t="s">
        <v>15</v>
      </c>
      <c r="D113" s="2" t="s">
        <v>28</v>
      </c>
      <c r="E113" s="2">
        <v>52758.01</v>
      </c>
      <c r="F113" s="2">
        <v>4063</v>
      </c>
      <c r="G113" s="2">
        <v>5.7000000000000002E-2</v>
      </c>
      <c r="H113" s="2">
        <v>12</v>
      </c>
      <c r="I113" s="2">
        <v>91.7</v>
      </c>
      <c r="J113" s="2">
        <v>0.92</v>
      </c>
      <c r="K113" s="2">
        <v>0</v>
      </c>
      <c r="L113" s="2">
        <v>3.5</v>
      </c>
      <c r="M113" s="2">
        <v>713611.16</v>
      </c>
      <c r="N113" s="2">
        <v>129717.18</v>
      </c>
    </row>
    <row r="114" spans="1:14">
      <c r="A114" s="2" t="s">
        <v>50</v>
      </c>
      <c r="B114" s="3">
        <v>45658</v>
      </c>
      <c r="C114" s="2" t="s">
        <v>27</v>
      </c>
      <c r="D114" s="2" t="s">
        <v>28</v>
      </c>
      <c r="E114" s="2">
        <v>61426.04</v>
      </c>
      <c r="F114" s="2">
        <v>8966</v>
      </c>
      <c r="G114" s="2">
        <v>0.17299999999999999</v>
      </c>
      <c r="H114" s="2">
        <v>22</v>
      </c>
      <c r="I114" s="2">
        <v>76.400000000000006</v>
      </c>
      <c r="J114" s="2">
        <v>1.05</v>
      </c>
      <c r="K114" s="2">
        <v>0</v>
      </c>
      <c r="L114" s="2">
        <v>3.1</v>
      </c>
      <c r="M114" s="2">
        <v>778397.97</v>
      </c>
      <c r="N114" s="2">
        <v>120044.41</v>
      </c>
    </row>
    <row r="115" spans="1:14">
      <c r="A115" s="2" t="s">
        <v>50</v>
      </c>
      <c r="B115" s="3">
        <v>45689</v>
      </c>
      <c r="C115" s="2" t="s">
        <v>27</v>
      </c>
      <c r="D115" s="2" t="s">
        <v>28</v>
      </c>
      <c r="E115" s="2">
        <v>80176.34</v>
      </c>
      <c r="F115" s="2">
        <v>9489</v>
      </c>
      <c r="G115" s="2">
        <v>0.14199999999999999</v>
      </c>
      <c r="H115" s="2">
        <v>22</v>
      </c>
      <c r="I115" s="2">
        <v>94.3</v>
      </c>
      <c r="J115" s="2">
        <v>2.67</v>
      </c>
      <c r="K115" s="2">
        <v>0</v>
      </c>
      <c r="L115" s="2">
        <v>3.5</v>
      </c>
      <c r="M115" s="2">
        <v>873380.02</v>
      </c>
      <c r="N115" s="2">
        <v>149734.76</v>
      </c>
    </row>
    <row r="116" spans="1:14">
      <c r="A116" s="2" t="s">
        <v>50</v>
      </c>
      <c r="B116" s="3">
        <v>45717</v>
      </c>
      <c r="C116" s="2" t="s">
        <v>27</v>
      </c>
      <c r="D116" s="2" t="s">
        <v>28</v>
      </c>
      <c r="E116" s="2">
        <v>33605.18</v>
      </c>
      <c r="F116" s="2">
        <v>9225</v>
      </c>
      <c r="G116" s="2">
        <v>0.159</v>
      </c>
      <c r="H116" s="2">
        <v>23</v>
      </c>
      <c r="I116" s="2">
        <v>88.4</v>
      </c>
      <c r="J116" s="2">
        <v>5.91</v>
      </c>
      <c r="K116" s="2">
        <v>0</v>
      </c>
      <c r="L116" s="2">
        <v>2.8</v>
      </c>
      <c r="M116" s="2">
        <v>697287.9</v>
      </c>
      <c r="N116" s="2">
        <v>128208.33</v>
      </c>
    </row>
    <row r="117" spans="1:14">
      <c r="A117" s="2" t="s">
        <v>50</v>
      </c>
      <c r="B117" s="3">
        <v>45748</v>
      </c>
      <c r="C117" s="2" t="s">
        <v>27</v>
      </c>
      <c r="D117" s="2" t="s">
        <v>28</v>
      </c>
      <c r="E117" s="2">
        <v>25990.54</v>
      </c>
      <c r="F117" s="2">
        <v>9249</v>
      </c>
      <c r="G117" s="2">
        <v>0.13900000000000001</v>
      </c>
      <c r="H117" s="2">
        <v>23</v>
      </c>
      <c r="I117" s="2">
        <v>92.5</v>
      </c>
      <c r="J117" s="2">
        <v>6.37</v>
      </c>
      <c r="K117" s="2">
        <v>0</v>
      </c>
      <c r="L117" s="2">
        <v>3.3</v>
      </c>
      <c r="M117" s="2">
        <v>718074.79</v>
      </c>
      <c r="N117" s="2">
        <v>115819.87</v>
      </c>
    </row>
    <row r="118" spans="1:14">
      <c r="A118" s="2" t="s">
        <v>51</v>
      </c>
      <c r="B118" s="3">
        <v>45658</v>
      </c>
      <c r="C118" s="2" t="s">
        <v>27</v>
      </c>
      <c r="D118" s="2" t="s">
        <v>16</v>
      </c>
      <c r="E118" s="2">
        <v>43685.14</v>
      </c>
      <c r="F118" s="2">
        <v>7821</v>
      </c>
      <c r="G118" s="2">
        <v>0.19</v>
      </c>
      <c r="H118" s="2">
        <v>17</v>
      </c>
      <c r="I118" s="2">
        <v>91</v>
      </c>
      <c r="J118" s="2">
        <v>2.4900000000000002</v>
      </c>
      <c r="K118" s="2">
        <v>1</v>
      </c>
      <c r="L118" s="2">
        <v>4.7</v>
      </c>
      <c r="M118" s="2">
        <v>714942.43</v>
      </c>
      <c r="N118" s="2">
        <v>94697.71</v>
      </c>
    </row>
    <row r="119" spans="1:14">
      <c r="A119" s="2" t="s">
        <v>51</v>
      </c>
      <c r="B119" s="3">
        <v>45689</v>
      </c>
      <c r="C119" s="2" t="s">
        <v>27</v>
      </c>
      <c r="D119" s="2" t="s">
        <v>16</v>
      </c>
      <c r="E119" s="2">
        <v>57360.01</v>
      </c>
      <c r="F119" s="2">
        <v>8434</v>
      </c>
      <c r="G119" s="2">
        <v>0.151</v>
      </c>
      <c r="H119" s="2">
        <v>19</v>
      </c>
      <c r="I119" s="2">
        <v>84.1</v>
      </c>
      <c r="J119" s="2">
        <v>1.56</v>
      </c>
      <c r="K119" s="2">
        <v>0</v>
      </c>
      <c r="L119" s="2">
        <v>4.7</v>
      </c>
      <c r="M119" s="2">
        <v>820519.04</v>
      </c>
      <c r="N119" s="2">
        <v>99035.88</v>
      </c>
    </row>
    <row r="120" spans="1:14">
      <c r="A120" s="2" t="s">
        <v>51</v>
      </c>
      <c r="B120" s="3">
        <v>45717</v>
      </c>
      <c r="C120" s="2" t="s">
        <v>27</v>
      </c>
      <c r="D120" s="2" t="s">
        <v>16</v>
      </c>
      <c r="E120" s="2">
        <v>42415.47</v>
      </c>
      <c r="F120" s="2">
        <v>8512</v>
      </c>
      <c r="G120" s="2">
        <v>0.13300000000000001</v>
      </c>
      <c r="H120" s="2">
        <v>18</v>
      </c>
      <c r="I120" s="2">
        <v>96.8</v>
      </c>
      <c r="J120" s="2">
        <v>14.95</v>
      </c>
      <c r="K120" s="2">
        <v>0</v>
      </c>
      <c r="L120" s="2">
        <v>4.5999999999999996</v>
      </c>
      <c r="M120" s="2">
        <v>684217.32</v>
      </c>
      <c r="N120" s="2">
        <v>136217.19</v>
      </c>
    </row>
    <row r="121" spans="1:14">
      <c r="A121" s="2" t="s">
        <v>51</v>
      </c>
      <c r="B121" s="3">
        <v>45748</v>
      </c>
      <c r="C121" s="2" t="s">
        <v>27</v>
      </c>
      <c r="D121" s="2" t="s">
        <v>16</v>
      </c>
      <c r="E121" s="2">
        <v>54968.98</v>
      </c>
      <c r="F121" s="2">
        <v>7816</v>
      </c>
      <c r="G121" s="2">
        <v>0.23200000000000001</v>
      </c>
      <c r="H121" s="2">
        <v>19</v>
      </c>
      <c r="I121" s="2">
        <v>95.7</v>
      </c>
      <c r="J121" s="2">
        <v>7.85</v>
      </c>
      <c r="K121" s="2">
        <v>0</v>
      </c>
      <c r="L121" s="2">
        <v>4.7</v>
      </c>
      <c r="M121" s="2">
        <v>735480.19</v>
      </c>
      <c r="N121" s="2">
        <v>88342.11</v>
      </c>
    </row>
    <row r="122" spans="1:14">
      <c r="A122" s="2" t="s">
        <v>52</v>
      </c>
      <c r="B122" s="3">
        <v>45658</v>
      </c>
      <c r="C122" s="2" t="s">
        <v>20</v>
      </c>
      <c r="D122" s="2" t="s">
        <v>18</v>
      </c>
      <c r="E122" s="2">
        <v>43896.13</v>
      </c>
      <c r="F122" s="2">
        <v>3853</v>
      </c>
      <c r="G122" s="2">
        <v>8.7999999999999995E-2</v>
      </c>
      <c r="H122" s="2">
        <v>13</v>
      </c>
      <c r="I122" s="2">
        <v>83</v>
      </c>
      <c r="J122" s="2">
        <v>6.8</v>
      </c>
      <c r="K122" s="2">
        <v>0</v>
      </c>
      <c r="L122" s="2">
        <v>4.4000000000000004</v>
      </c>
      <c r="M122" s="2">
        <v>509484.81</v>
      </c>
      <c r="N122" s="2">
        <v>85742.36</v>
      </c>
    </row>
    <row r="123" spans="1:14">
      <c r="A123" s="2" t="s">
        <v>52</v>
      </c>
      <c r="B123" s="3">
        <v>45689</v>
      </c>
      <c r="C123" s="2" t="s">
        <v>20</v>
      </c>
      <c r="D123" s="2" t="s">
        <v>18</v>
      </c>
      <c r="E123" s="2">
        <v>83044.17</v>
      </c>
      <c r="F123" s="2">
        <v>3694</v>
      </c>
      <c r="G123" s="2">
        <v>0</v>
      </c>
      <c r="H123" s="2">
        <v>14</v>
      </c>
      <c r="I123" s="2">
        <v>89.4</v>
      </c>
      <c r="J123" s="2">
        <v>2.2000000000000002</v>
      </c>
      <c r="K123" s="2">
        <v>0</v>
      </c>
      <c r="L123" s="2">
        <v>3.7</v>
      </c>
      <c r="M123" s="2">
        <v>654317.09</v>
      </c>
      <c r="N123" s="2">
        <v>121446.89</v>
      </c>
    </row>
    <row r="124" spans="1:14">
      <c r="A124" s="2" t="s">
        <v>52</v>
      </c>
      <c r="B124" s="3">
        <v>45717</v>
      </c>
      <c r="C124" s="2" t="s">
        <v>20</v>
      </c>
      <c r="D124" s="2" t="s">
        <v>18</v>
      </c>
      <c r="E124" s="2">
        <v>48396.13</v>
      </c>
      <c r="F124" s="2">
        <v>4423</v>
      </c>
      <c r="G124" s="2">
        <v>6.9000000000000006E-2</v>
      </c>
      <c r="H124" s="2">
        <v>15</v>
      </c>
      <c r="I124" s="2">
        <v>85.7</v>
      </c>
      <c r="J124" s="2">
        <v>1.88</v>
      </c>
      <c r="K124" s="2">
        <v>0</v>
      </c>
      <c r="L124" s="2">
        <v>3.9</v>
      </c>
      <c r="M124" s="2">
        <v>557487.26</v>
      </c>
      <c r="N124" s="2">
        <v>76432.19</v>
      </c>
    </row>
    <row r="125" spans="1:14">
      <c r="A125" s="2" t="s">
        <v>52</v>
      </c>
      <c r="B125" s="3">
        <v>45748</v>
      </c>
      <c r="C125" s="2" t="s">
        <v>20</v>
      </c>
      <c r="D125" s="2" t="s">
        <v>18</v>
      </c>
      <c r="E125" s="2">
        <v>19063.48</v>
      </c>
      <c r="F125" s="2">
        <v>1906</v>
      </c>
      <c r="G125" s="2">
        <v>0.216</v>
      </c>
      <c r="H125" s="2">
        <v>10</v>
      </c>
      <c r="I125" s="2">
        <v>97.8</v>
      </c>
      <c r="J125" s="2">
        <v>15.79</v>
      </c>
      <c r="K125" s="2">
        <v>0</v>
      </c>
      <c r="L125" s="2">
        <v>4.4000000000000004</v>
      </c>
      <c r="M125" s="2">
        <v>441275.42</v>
      </c>
      <c r="N125" s="2">
        <v>58234.87</v>
      </c>
    </row>
    <row r="126" spans="1:14">
      <c r="A126" s="2" t="s">
        <v>53</v>
      </c>
      <c r="B126" s="3">
        <v>45658</v>
      </c>
      <c r="C126" s="2" t="s">
        <v>24</v>
      </c>
      <c r="D126" s="2" t="s">
        <v>18</v>
      </c>
      <c r="E126" s="2">
        <v>61541.21</v>
      </c>
      <c r="F126" s="2">
        <v>10396</v>
      </c>
      <c r="G126" s="2">
        <v>0.123</v>
      </c>
      <c r="H126" s="2">
        <v>25</v>
      </c>
      <c r="I126" s="2">
        <v>88.1</v>
      </c>
      <c r="J126" s="2">
        <v>2.34</v>
      </c>
      <c r="K126" s="2">
        <v>1</v>
      </c>
      <c r="L126" s="2">
        <v>4.8</v>
      </c>
      <c r="M126" s="2">
        <v>914544.17</v>
      </c>
      <c r="N126" s="2">
        <v>79831.73</v>
      </c>
    </row>
    <row r="127" spans="1:14">
      <c r="A127" s="2" t="s">
        <v>53</v>
      </c>
      <c r="B127" s="3">
        <v>45689</v>
      </c>
      <c r="C127" s="2" t="s">
        <v>24</v>
      </c>
      <c r="D127" s="2" t="s">
        <v>18</v>
      </c>
      <c r="E127" s="2">
        <v>44747</v>
      </c>
      <c r="F127" s="2">
        <v>11076</v>
      </c>
      <c r="G127" s="2">
        <v>0.17599999999999999</v>
      </c>
      <c r="H127" s="2">
        <v>27</v>
      </c>
      <c r="I127" s="2">
        <v>98.3</v>
      </c>
      <c r="J127" s="2">
        <v>0.54</v>
      </c>
      <c r="K127" s="2">
        <v>0</v>
      </c>
      <c r="L127" s="2">
        <v>4.4000000000000004</v>
      </c>
      <c r="M127" s="2">
        <v>842439.67</v>
      </c>
      <c r="N127" s="2">
        <v>169983.63</v>
      </c>
    </row>
    <row r="128" spans="1:14">
      <c r="A128" s="2" t="s">
        <v>53</v>
      </c>
      <c r="B128" s="3">
        <v>45717</v>
      </c>
      <c r="C128" s="2" t="s">
        <v>24</v>
      </c>
      <c r="D128" s="2" t="s">
        <v>18</v>
      </c>
      <c r="E128" s="2">
        <v>56517.9</v>
      </c>
      <c r="F128" s="2">
        <v>9574</v>
      </c>
      <c r="G128" s="2">
        <v>0.20399999999999999</v>
      </c>
      <c r="H128" s="2">
        <v>20</v>
      </c>
      <c r="I128" s="2">
        <v>88.2</v>
      </c>
      <c r="J128" s="2">
        <v>5.37</v>
      </c>
      <c r="K128" s="2">
        <v>1</v>
      </c>
      <c r="L128" s="2">
        <v>4.9000000000000004</v>
      </c>
      <c r="M128" s="2">
        <v>842157.92</v>
      </c>
      <c r="N128" s="2">
        <v>107348.22</v>
      </c>
    </row>
    <row r="129" spans="1:14">
      <c r="A129" s="2" t="s">
        <v>53</v>
      </c>
      <c r="B129" s="3">
        <v>45748</v>
      </c>
      <c r="C129" s="2" t="s">
        <v>24</v>
      </c>
      <c r="D129" s="2" t="s">
        <v>18</v>
      </c>
      <c r="E129" s="2">
        <v>37828.5</v>
      </c>
      <c r="F129" s="2">
        <v>8221</v>
      </c>
      <c r="G129" s="2">
        <v>9.6000000000000002E-2</v>
      </c>
      <c r="H129" s="2">
        <v>19</v>
      </c>
      <c r="I129" s="2">
        <v>81.5</v>
      </c>
      <c r="J129" s="2">
        <v>3.19</v>
      </c>
      <c r="K129" s="2">
        <v>0</v>
      </c>
      <c r="L129" s="2">
        <v>4.8</v>
      </c>
      <c r="M129" s="2">
        <v>697155.3</v>
      </c>
      <c r="N129" s="2">
        <v>136408.54</v>
      </c>
    </row>
    <row r="130" spans="1:14">
      <c r="A130" s="2" t="s">
        <v>54</v>
      </c>
      <c r="B130" s="3">
        <v>45658</v>
      </c>
      <c r="C130" s="2" t="s">
        <v>15</v>
      </c>
      <c r="D130" s="2" t="s">
        <v>18</v>
      </c>
      <c r="E130" s="2">
        <v>66250.53</v>
      </c>
      <c r="F130" s="2">
        <v>10618</v>
      </c>
      <c r="G130" s="2">
        <v>0.14199999999999999</v>
      </c>
      <c r="H130" s="2">
        <v>27</v>
      </c>
      <c r="I130" s="2">
        <v>88.3</v>
      </c>
      <c r="J130" s="2">
        <v>1.1000000000000001</v>
      </c>
      <c r="K130" s="2">
        <v>1</v>
      </c>
      <c r="L130" s="2">
        <v>4.4000000000000004</v>
      </c>
      <c r="M130" s="2">
        <v>849018.3</v>
      </c>
      <c r="N130" s="2">
        <v>149035.13</v>
      </c>
    </row>
    <row r="131" spans="1:14">
      <c r="A131" s="2" t="s">
        <v>54</v>
      </c>
      <c r="B131" s="3">
        <v>45689</v>
      </c>
      <c r="C131" s="2" t="s">
        <v>15</v>
      </c>
      <c r="D131" s="2" t="s">
        <v>18</v>
      </c>
      <c r="E131" s="2">
        <v>68410.929999999993</v>
      </c>
      <c r="F131" s="2">
        <v>10596</v>
      </c>
      <c r="G131" s="2">
        <v>0.20699999999999999</v>
      </c>
      <c r="H131" s="2">
        <v>25</v>
      </c>
      <c r="I131" s="2">
        <v>81.2</v>
      </c>
      <c r="J131" s="2">
        <v>0.21</v>
      </c>
      <c r="K131" s="2">
        <v>0</v>
      </c>
      <c r="L131" s="2">
        <v>4</v>
      </c>
      <c r="M131" s="2">
        <v>801830.35</v>
      </c>
      <c r="N131" s="2">
        <v>114875.32</v>
      </c>
    </row>
    <row r="132" spans="1:14">
      <c r="A132" s="2" t="s">
        <v>54</v>
      </c>
      <c r="B132" s="3">
        <v>45717</v>
      </c>
      <c r="C132" s="2" t="s">
        <v>15</v>
      </c>
      <c r="D132" s="2" t="s">
        <v>18</v>
      </c>
      <c r="E132" s="2">
        <v>50735.63</v>
      </c>
      <c r="F132" s="2">
        <v>9619</v>
      </c>
      <c r="G132" s="2">
        <v>0.14399999999999999</v>
      </c>
      <c r="H132" s="2">
        <v>19</v>
      </c>
      <c r="I132" s="2">
        <v>93.8</v>
      </c>
      <c r="J132" s="2">
        <v>5.12</v>
      </c>
      <c r="K132" s="2">
        <v>1</v>
      </c>
      <c r="L132" s="2">
        <v>4.5</v>
      </c>
      <c r="M132" s="2">
        <v>725235.28</v>
      </c>
      <c r="N132" s="2">
        <v>121632.24</v>
      </c>
    </row>
    <row r="133" spans="1:14">
      <c r="A133" s="2" t="s">
        <v>54</v>
      </c>
      <c r="B133" s="3">
        <v>45748</v>
      </c>
      <c r="C133" s="2" t="s">
        <v>15</v>
      </c>
      <c r="D133" s="2" t="s">
        <v>18</v>
      </c>
      <c r="E133" s="2">
        <v>66455.8</v>
      </c>
      <c r="F133" s="2">
        <v>10836</v>
      </c>
      <c r="G133" s="2">
        <v>8.8999999999999996E-2</v>
      </c>
      <c r="H133" s="2">
        <v>25</v>
      </c>
      <c r="I133" s="2">
        <v>85</v>
      </c>
      <c r="J133" s="2">
        <v>9.77</v>
      </c>
      <c r="K133" s="2">
        <v>0</v>
      </c>
      <c r="L133" s="2">
        <v>4.5</v>
      </c>
      <c r="M133" s="2">
        <v>811452.72</v>
      </c>
      <c r="N133" s="2">
        <v>131325.67000000001</v>
      </c>
    </row>
    <row r="134" spans="1:14">
      <c r="A134" s="2" t="s">
        <v>55</v>
      </c>
      <c r="B134" s="3">
        <v>45658</v>
      </c>
      <c r="C134" s="2" t="s">
        <v>20</v>
      </c>
      <c r="D134" s="2" t="s">
        <v>18</v>
      </c>
      <c r="E134" s="2">
        <v>70276.28</v>
      </c>
      <c r="F134" s="2">
        <v>3043</v>
      </c>
      <c r="G134" s="2">
        <v>7.9000000000000001E-2</v>
      </c>
      <c r="H134" s="2">
        <v>9</v>
      </c>
      <c r="I134" s="2">
        <v>87.9</v>
      </c>
      <c r="J134" s="2">
        <v>3.77</v>
      </c>
      <c r="K134" s="2">
        <v>0</v>
      </c>
      <c r="L134" s="2">
        <v>4.4000000000000004</v>
      </c>
      <c r="M134" s="2">
        <v>527300.13</v>
      </c>
      <c r="N134" s="2">
        <v>84197.87</v>
      </c>
    </row>
    <row r="135" spans="1:14">
      <c r="A135" s="2" t="s">
        <v>55</v>
      </c>
      <c r="B135" s="3">
        <v>45689</v>
      </c>
      <c r="C135" s="2" t="s">
        <v>20</v>
      </c>
      <c r="D135" s="2" t="s">
        <v>18</v>
      </c>
      <c r="E135" s="2">
        <v>22071.64</v>
      </c>
      <c r="F135" s="2">
        <v>1814</v>
      </c>
      <c r="G135" s="2">
        <v>0.19600000000000001</v>
      </c>
      <c r="H135" s="2">
        <v>8</v>
      </c>
      <c r="I135" s="2">
        <v>81.099999999999994</v>
      </c>
      <c r="J135" s="2">
        <v>0.78</v>
      </c>
      <c r="K135" s="2">
        <v>0</v>
      </c>
      <c r="L135" s="4">
        <v>3.9</v>
      </c>
      <c r="M135" s="2">
        <v>400831.65</v>
      </c>
      <c r="N135" s="2">
        <v>70979.31</v>
      </c>
    </row>
    <row r="136" spans="1:14">
      <c r="A136" s="2" t="s">
        <v>55</v>
      </c>
      <c r="B136" s="3">
        <v>45717</v>
      </c>
      <c r="C136" s="2" t="s">
        <v>20</v>
      </c>
      <c r="D136" s="2" t="s">
        <v>18</v>
      </c>
      <c r="E136" s="2">
        <v>52285.45</v>
      </c>
      <c r="F136" s="2">
        <v>3618</v>
      </c>
      <c r="G136" s="2">
        <v>8.5999999999999993E-2</v>
      </c>
      <c r="H136" s="2">
        <v>11</v>
      </c>
      <c r="I136" s="2">
        <v>95.6</v>
      </c>
      <c r="J136" s="2">
        <v>5.17</v>
      </c>
      <c r="K136" s="2">
        <v>1</v>
      </c>
      <c r="L136" s="2">
        <v>4.4000000000000004</v>
      </c>
      <c r="M136" s="2">
        <v>593247.25</v>
      </c>
      <c r="N136" s="2">
        <v>81240.289999999994</v>
      </c>
    </row>
    <row r="137" spans="1:14">
      <c r="A137" s="2" t="s">
        <v>55</v>
      </c>
      <c r="B137" s="3">
        <v>45748</v>
      </c>
      <c r="C137" s="2" t="s">
        <v>20</v>
      </c>
      <c r="D137" s="2" t="s">
        <v>18</v>
      </c>
      <c r="E137" s="2">
        <v>70366.759999999995</v>
      </c>
      <c r="F137" s="2">
        <v>1963</v>
      </c>
      <c r="G137" s="2">
        <v>0.182</v>
      </c>
      <c r="H137" s="2">
        <v>8</v>
      </c>
      <c r="I137" s="2">
        <v>89.8</v>
      </c>
      <c r="J137" s="2">
        <v>3.2</v>
      </c>
      <c r="K137" s="2">
        <v>0</v>
      </c>
      <c r="L137" s="2">
        <v>4.5999999999999996</v>
      </c>
      <c r="M137" s="2">
        <v>529075.94999999995</v>
      </c>
      <c r="N137" s="2">
        <v>95978.83</v>
      </c>
    </row>
    <row r="138" spans="1:14">
      <c r="A138" s="2" t="s">
        <v>56</v>
      </c>
      <c r="B138" s="3">
        <v>45658</v>
      </c>
      <c r="C138" s="2" t="s">
        <v>24</v>
      </c>
      <c r="D138" s="2" t="s">
        <v>16</v>
      </c>
      <c r="E138" s="2">
        <v>71320.66</v>
      </c>
      <c r="F138" s="2">
        <v>7888</v>
      </c>
      <c r="G138" s="2">
        <v>4.8000000000000001E-2</v>
      </c>
      <c r="H138" s="2">
        <v>20</v>
      </c>
      <c r="I138" s="2">
        <v>78.099999999999994</v>
      </c>
      <c r="J138" s="2">
        <v>3.4</v>
      </c>
      <c r="K138" s="2">
        <v>0</v>
      </c>
      <c r="L138" s="4">
        <v>3.9</v>
      </c>
      <c r="M138" s="2">
        <v>633638.03</v>
      </c>
      <c r="N138" s="2">
        <v>99402.01</v>
      </c>
    </row>
    <row r="139" spans="1:14">
      <c r="A139" s="2" t="s">
        <v>56</v>
      </c>
      <c r="B139" s="3">
        <v>45689</v>
      </c>
      <c r="C139" s="2" t="s">
        <v>24</v>
      </c>
      <c r="D139" s="2" t="s">
        <v>16</v>
      </c>
      <c r="E139" s="2">
        <v>75109.67</v>
      </c>
      <c r="F139" s="2">
        <v>6244</v>
      </c>
      <c r="G139" s="2">
        <v>7.9000000000000001E-2</v>
      </c>
      <c r="H139" s="2">
        <v>15</v>
      </c>
      <c r="I139" s="2">
        <v>96.3</v>
      </c>
      <c r="J139" s="2">
        <v>7.38</v>
      </c>
      <c r="K139" s="2">
        <v>0</v>
      </c>
      <c r="L139" s="2">
        <v>3.7</v>
      </c>
      <c r="M139" s="2">
        <v>743348.84</v>
      </c>
      <c r="N139" s="2">
        <v>104186.09</v>
      </c>
    </row>
    <row r="140" spans="1:14">
      <c r="A140" s="2" t="s">
        <v>56</v>
      </c>
      <c r="B140" s="3">
        <v>45717</v>
      </c>
      <c r="C140" s="2" t="s">
        <v>24</v>
      </c>
      <c r="D140" s="2" t="s">
        <v>16</v>
      </c>
      <c r="E140" s="2">
        <v>69779</v>
      </c>
      <c r="F140" s="2">
        <v>6544</v>
      </c>
      <c r="G140" s="2">
        <v>0.152</v>
      </c>
      <c r="H140" s="2">
        <v>18</v>
      </c>
      <c r="I140" s="2">
        <v>90.2</v>
      </c>
      <c r="J140" s="2">
        <v>0.85</v>
      </c>
      <c r="K140" s="2">
        <v>1</v>
      </c>
      <c r="L140" s="2">
        <v>3.3</v>
      </c>
      <c r="M140" s="2">
        <v>758827.64</v>
      </c>
      <c r="N140" s="2">
        <v>161439.48000000001</v>
      </c>
    </row>
    <row r="141" spans="1:14">
      <c r="A141" s="2" t="s">
        <v>56</v>
      </c>
      <c r="B141" s="3">
        <v>45748</v>
      </c>
      <c r="C141" s="2" t="s">
        <v>24</v>
      </c>
      <c r="D141" s="2" t="s">
        <v>16</v>
      </c>
      <c r="E141" s="2">
        <v>44211.95</v>
      </c>
      <c r="F141" s="2">
        <v>5465</v>
      </c>
      <c r="G141" s="2">
        <v>0.187</v>
      </c>
      <c r="H141" s="2">
        <v>12</v>
      </c>
      <c r="I141" s="2">
        <v>90</v>
      </c>
      <c r="J141" s="2">
        <v>2.89</v>
      </c>
      <c r="K141" s="2">
        <v>0</v>
      </c>
      <c r="L141" s="2">
        <v>3.6</v>
      </c>
      <c r="M141" s="2">
        <v>646559.71</v>
      </c>
      <c r="N141" s="2">
        <v>97981.75</v>
      </c>
    </row>
    <row r="142" spans="1:14">
      <c r="A142" s="2" t="s">
        <v>57</v>
      </c>
      <c r="B142" s="3">
        <v>45658</v>
      </c>
      <c r="C142" s="2" t="s">
        <v>27</v>
      </c>
      <c r="D142" s="2" t="s">
        <v>18</v>
      </c>
      <c r="E142" s="2">
        <v>51430.31</v>
      </c>
      <c r="F142" s="2">
        <v>6427</v>
      </c>
      <c r="G142" s="2">
        <v>0.23400000000000001</v>
      </c>
      <c r="H142" s="2">
        <v>14</v>
      </c>
      <c r="I142" s="2">
        <v>88.8</v>
      </c>
      <c r="J142" s="2">
        <v>0.77</v>
      </c>
      <c r="K142" s="2">
        <v>0</v>
      </c>
      <c r="L142" s="2">
        <v>4.0999999999999996</v>
      </c>
      <c r="M142" s="2">
        <v>715890.53</v>
      </c>
      <c r="N142" s="2">
        <v>109032.15</v>
      </c>
    </row>
    <row r="143" spans="1:14">
      <c r="A143" s="2" t="s">
        <v>57</v>
      </c>
      <c r="B143" s="3">
        <v>45689</v>
      </c>
      <c r="C143" s="2" t="s">
        <v>27</v>
      </c>
      <c r="D143" s="2" t="s">
        <v>18</v>
      </c>
      <c r="E143" s="2">
        <v>45706.49</v>
      </c>
      <c r="F143" s="2">
        <v>6704</v>
      </c>
      <c r="G143" s="2">
        <v>3.7999999999999999E-2</v>
      </c>
      <c r="H143" s="2">
        <v>15</v>
      </c>
      <c r="I143" s="2">
        <v>94.2</v>
      </c>
      <c r="J143" s="2">
        <v>2.92</v>
      </c>
      <c r="K143" s="2">
        <v>0</v>
      </c>
      <c r="L143" s="2">
        <v>4.2</v>
      </c>
      <c r="M143" s="2">
        <v>715097.57</v>
      </c>
      <c r="N143" s="2">
        <v>151875.85999999999</v>
      </c>
    </row>
    <row r="144" spans="1:14">
      <c r="A144" s="2" t="s">
        <v>57</v>
      </c>
      <c r="B144" s="3">
        <v>45717</v>
      </c>
      <c r="C144" s="2" t="s">
        <v>27</v>
      </c>
      <c r="D144" s="2" t="s">
        <v>18</v>
      </c>
      <c r="E144" s="2">
        <v>44034.6</v>
      </c>
      <c r="F144" s="2">
        <v>5645</v>
      </c>
      <c r="G144" s="2">
        <v>6.9000000000000006E-2</v>
      </c>
      <c r="H144" s="2">
        <v>18</v>
      </c>
      <c r="I144" s="2">
        <v>88.5</v>
      </c>
      <c r="J144" s="2">
        <v>3.07</v>
      </c>
      <c r="K144" s="2">
        <v>0</v>
      </c>
      <c r="L144" s="2">
        <v>3.8</v>
      </c>
      <c r="M144" s="2">
        <v>682639.28</v>
      </c>
      <c r="N144" s="2">
        <v>77557.53</v>
      </c>
    </row>
    <row r="145" spans="1:14">
      <c r="A145" s="2" t="s">
        <v>57</v>
      </c>
      <c r="B145" s="3">
        <v>45748</v>
      </c>
      <c r="C145" s="2" t="s">
        <v>27</v>
      </c>
      <c r="D145" s="2" t="s">
        <v>18</v>
      </c>
      <c r="E145" s="2">
        <v>50198.12</v>
      </c>
      <c r="F145" s="2">
        <v>6089</v>
      </c>
      <c r="G145" s="2">
        <v>0.182</v>
      </c>
      <c r="H145" s="2">
        <v>19</v>
      </c>
      <c r="I145" s="2">
        <v>94</v>
      </c>
      <c r="J145" s="2">
        <v>9.6999999999999993</v>
      </c>
      <c r="K145" s="2">
        <v>0</v>
      </c>
      <c r="L145" s="2">
        <v>3.9</v>
      </c>
      <c r="M145" s="2">
        <v>695098.51</v>
      </c>
      <c r="N145" s="2">
        <v>108192.75</v>
      </c>
    </row>
    <row r="146" spans="1:14">
      <c r="A146" s="2" t="s">
        <v>58</v>
      </c>
      <c r="B146" s="3">
        <v>45658</v>
      </c>
      <c r="C146" s="2" t="s">
        <v>20</v>
      </c>
      <c r="D146" s="2" t="s">
        <v>16</v>
      </c>
      <c r="E146" s="2">
        <v>70488.2</v>
      </c>
      <c r="F146" s="2">
        <v>4312</v>
      </c>
      <c r="G146" s="2">
        <v>0.16900000000000001</v>
      </c>
      <c r="H146" s="2">
        <v>12</v>
      </c>
      <c r="I146" s="2">
        <v>90.2</v>
      </c>
      <c r="J146" s="2">
        <v>3.71</v>
      </c>
      <c r="K146" s="2">
        <v>0</v>
      </c>
      <c r="L146" s="2">
        <v>3.2</v>
      </c>
      <c r="M146" s="2">
        <v>577732.56999999995</v>
      </c>
      <c r="N146" s="2">
        <v>93804.27</v>
      </c>
    </row>
    <row r="147" spans="1:14">
      <c r="A147" s="2" t="s">
        <v>58</v>
      </c>
      <c r="B147" s="3">
        <v>45689</v>
      </c>
      <c r="C147" s="2" t="s">
        <v>20</v>
      </c>
      <c r="D147" s="2" t="s">
        <v>16</v>
      </c>
      <c r="E147" s="2">
        <v>50909.27</v>
      </c>
      <c r="F147" s="2">
        <v>3152</v>
      </c>
      <c r="G147" s="2">
        <v>0.06</v>
      </c>
      <c r="H147" s="2">
        <v>13</v>
      </c>
      <c r="I147" s="2">
        <v>93.7</v>
      </c>
      <c r="J147" s="2">
        <v>10.79</v>
      </c>
      <c r="K147" s="2">
        <v>0</v>
      </c>
      <c r="L147" s="2">
        <v>3.5</v>
      </c>
      <c r="M147" s="2">
        <v>537058.32999999996</v>
      </c>
      <c r="N147" s="2">
        <v>93555.71</v>
      </c>
    </row>
    <row r="148" spans="1:14">
      <c r="A148" s="2" t="s">
        <v>58</v>
      </c>
      <c r="B148" s="3">
        <v>45717</v>
      </c>
      <c r="C148" s="2" t="s">
        <v>20</v>
      </c>
      <c r="D148" s="2" t="s">
        <v>16</v>
      </c>
      <c r="E148" s="2">
        <v>53351.7</v>
      </c>
      <c r="F148" s="2">
        <v>4259</v>
      </c>
      <c r="G148" s="2">
        <v>0.156</v>
      </c>
      <c r="H148" s="2">
        <v>15</v>
      </c>
      <c r="I148" s="2">
        <v>93.7</v>
      </c>
      <c r="J148" s="2">
        <v>6.03</v>
      </c>
      <c r="K148" s="2">
        <v>0</v>
      </c>
      <c r="L148" s="2">
        <v>3.4</v>
      </c>
      <c r="M148" s="2">
        <v>601568.87</v>
      </c>
      <c r="N148" s="2">
        <v>91634.82</v>
      </c>
    </row>
    <row r="149" spans="1:14">
      <c r="A149" s="2" t="s">
        <v>58</v>
      </c>
      <c r="B149" s="3">
        <v>45748</v>
      </c>
      <c r="C149" s="2" t="s">
        <v>20</v>
      </c>
      <c r="D149" s="2" t="s">
        <v>16</v>
      </c>
      <c r="E149" s="2">
        <v>60322.400000000001</v>
      </c>
      <c r="F149" s="2">
        <v>3350</v>
      </c>
      <c r="G149" s="2">
        <v>0.108</v>
      </c>
      <c r="H149" s="2">
        <v>12</v>
      </c>
      <c r="I149" s="2">
        <v>89.4</v>
      </c>
      <c r="J149" s="2">
        <v>4.92</v>
      </c>
      <c r="K149" s="2">
        <v>0</v>
      </c>
      <c r="L149" s="2">
        <v>3.4</v>
      </c>
      <c r="M149" s="2">
        <v>570964.84</v>
      </c>
      <c r="N149" s="2">
        <v>81331.070000000007</v>
      </c>
    </row>
    <row r="150" spans="1:14">
      <c r="A150" s="2" t="s">
        <v>59</v>
      </c>
      <c r="B150" s="3">
        <v>45658</v>
      </c>
      <c r="C150" s="2" t="s">
        <v>24</v>
      </c>
      <c r="D150" s="2" t="s">
        <v>28</v>
      </c>
      <c r="E150" s="2">
        <v>51575.68</v>
      </c>
      <c r="F150" s="2">
        <v>5329</v>
      </c>
      <c r="G150" s="2">
        <v>4.7E-2</v>
      </c>
      <c r="H150" s="2">
        <v>17</v>
      </c>
      <c r="I150" s="2">
        <v>88.1</v>
      </c>
      <c r="J150" s="2">
        <v>19.78</v>
      </c>
      <c r="K150" s="2">
        <v>0</v>
      </c>
      <c r="L150" s="2">
        <v>3.8</v>
      </c>
      <c r="M150" s="2">
        <v>614024.91</v>
      </c>
      <c r="N150" s="2">
        <v>84828.93</v>
      </c>
    </row>
    <row r="151" spans="1:14">
      <c r="A151" s="2" t="s">
        <v>59</v>
      </c>
      <c r="B151" s="3">
        <v>45689</v>
      </c>
      <c r="C151" s="2" t="s">
        <v>24</v>
      </c>
      <c r="D151" s="2" t="s">
        <v>28</v>
      </c>
      <c r="E151" s="2">
        <v>43319.94</v>
      </c>
      <c r="F151" s="2">
        <v>6551</v>
      </c>
      <c r="G151" s="2">
        <v>4.3999999999999997E-2</v>
      </c>
      <c r="H151" s="2">
        <v>13</v>
      </c>
      <c r="I151" s="2">
        <v>99</v>
      </c>
      <c r="J151" s="2">
        <v>5.45</v>
      </c>
      <c r="K151" s="2">
        <v>0</v>
      </c>
      <c r="L151" s="2">
        <v>4.0999999999999996</v>
      </c>
      <c r="M151" s="2">
        <v>712868.35</v>
      </c>
      <c r="N151" s="2">
        <v>133650.51</v>
      </c>
    </row>
    <row r="152" spans="1:14">
      <c r="A152" s="2" t="s">
        <v>59</v>
      </c>
      <c r="B152" s="3">
        <v>45717</v>
      </c>
      <c r="C152" s="2" t="s">
        <v>24</v>
      </c>
      <c r="D152" s="2" t="s">
        <v>28</v>
      </c>
      <c r="E152" s="2">
        <v>47093.55</v>
      </c>
      <c r="F152" s="2">
        <v>5550</v>
      </c>
      <c r="G152" s="2">
        <v>0.1</v>
      </c>
      <c r="H152" s="2">
        <v>12</v>
      </c>
      <c r="I152" s="2">
        <v>95</v>
      </c>
      <c r="J152" s="2">
        <v>2.33</v>
      </c>
      <c r="K152" s="2">
        <v>1</v>
      </c>
      <c r="L152" s="2">
        <v>3.7</v>
      </c>
      <c r="M152" s="2">
        <v>696744.15</v>
      </c>
      <c r="N152" s="2">
        <v>152230.09</v>
      </c>
    </row>
    <row r="153" spans="1:14">
      <c r="A153" s="2" t="s">
        <v>59</v>
      </c>
      <c r="B153" s="3">
        <v>45748</v>
      </c>
      <c r="C153" s="2" t="s">
        <v>24</v>
      </c>
      <c r="D153" s="2" t="s">
        <v>28</v>
      </c>
      <c r="E153" s="2">
        <v>71855.09</v>
      </c>
      <c r="F153" s="2">
        <v>5911</v>
      </c>
      <c r="G153" s="2">
        <v>0.19700000000000001</v>
      </c>
      <c r="H153" s="2">
        <v>15</v>
      </c>
      <c r="I153" s="2">
        <v>94.3</v>
      </c>
      <c r="J153" s="2">
        <v>3.55</v>
      </c>
      <c r="K153" s="2">
        <v>0</v>
      </c>
      <c r="L153" s="2">
        <v>4.0999999999999996</v>
      </c>
      <c r="M153" s="2">
        <v>725847.99</v>
      </c>
      <c r="N153" s="2">
        <v>122698.73</v>
      </c>
    </row>
    <row r="154" spans="1:14">
      <c r="A154" s="2" t="s">
        <v>60</v>
      </c>
      <c r="B154" s="3">
        <v>45658</v>
      </c>
      <c r="C154" s="2" t="s">
        <v>15</v>
      </c>
      <c r="D154" s="2" t="s">
        <v>18</v>
      </c>
      <c r="E154" s="2">
        <v>75645.23</v>
      </c>
      <c r="F154" s="2">
        <v>9674</v>
      </c>
      <c r="G154" s="2">
        <v>0.23400000000000001</v>
      </c>
      <c r="H154" s="2">
        <v>21</v>
      </c>
      <c r="I154" s="2">
        <v>87.4</v>
      </c>
      <c r="J154" s="2">
        <v>0.2</v>
      </c>
      <c r="K154" s="2">
        <v>0</v>
      </c>
      <c r="L154" s="2">
        <v>4.5</v>
      </c>
      <c r="M154" s="2">
        <v>785028.25</v>
      </c>
      <c r="N154" s="2">
        <v>110726.44</v>
      </c>
    </row>
    <row r="155" spans="1:14">
      <c r="A155" s="2" t="s">
        <v>60</v>
      </c>
      <c r="B155" s="3">
        <v>45689</v>
      </c>
      <c r="C155" s="2" t="s">
        <v>15</v>
      </c>
      <c r="D155" s="2" t="s">
        <v>18</v>
      </c>
      <c r="E155" s="2">
        <v>64374.75</v>
      </c>
      <c r="F155" s="2">
        <v>6740</v>
      </c>
      <c r="G155" s="2">
        <v>0.16900000000000001</v>
      </c>
      <c r="H155" s="2">
        <v>18</v>
      </c>
      <c r="I155" s="2">
        <v>87</v>
      </c>
      <c r="J155" s="2">
        <v>2.09</v>
      </c>
      <c r="K155" s="2">
        <v>0</v>
      </c>
      <c r="L155" s="2">
        <v>4.2</v>
      </c>
      <c r="M155" s="2">
        <v>698492.67</v>
      </c>
      <c r="N155" s="2">
        <v>117319.32</v>
      </c>
    </row>
    <row r="156" spans="1:14">
      <c r="A156" s="2" t="s">
        <v>60</v>
      </c>
      <c r="B156" s="3">
        <v>45717</v>
      </c>
      <c r="C156" s="2" t="s">
        <v>15</v>
      </c>
      <c r="D156" s="2" t="s">
        <v>18</v>
      </c>
      <c r="E156" s="2">
        <v>61433.84</v>
      </c>
      <c r="F156" s="2">
        <v>7745</v>
      </c>
      <c r="G156" s="2">
        <v>0.18</v>
      </c>
      <c r="H156" s="2">
        <v>16</v>
      </c>
      <c r="I156" s="2">
        <v>90.5</v>
      </c>
      <c r="J156" s="2">
        <v>2.2599999999999998</v>
      </c>
      <c r="K156" s="2">
        <v>0</v>
      </c>
      <c r="L156" s="2">
        <v>4.2</v>
      </c>
      <c r="M156" s="2">
        <v>685830.24</v>
      </c>
      <c r="N156" s="2">
        <v>128736.18</v>
      </c>
    </row>
    <row r="157" spans="1:14">
      <c r="A157" s="2" t="s">
        <v>60</v>
      </c>
      <c r="B157" s="3">
        <v>45748</v>
      </c>
      <c r="C157" s="2" t="s">
        <v>15</v>
      </c>
      <c r="D157" s="2" t="s">
        <v>18</v>
      </c>
      <c r="E157" s="2">
        <v>42698.14</v>
      </c>
      <c r="F157" s="2">
        <v>7693</v>
      </c>
      <c r="G157" s="2">
        <v>0.187</v>
      </c>
      <c r="H157" s="2">
        <v>19</v>
      </c>
      <c r="I157" s="2">
        <v>90.1</v>
      </c>
      <c r="J157" s="2">
        <v>0.44</v>
      </c>
      <c r="K157" s="2">
        <v>0</v>
      </c>
      <c r="L157" s="2">
        <v>4.4000000000000004</v>
      </c>
      <c r="M157" s="2">
        <v>702318.94</v>
      </c>
      <c r="N157" s="2">
        <v>112829.29</v>
      </c>
    </row>
    <row r="158" spans="1:14">
      <c r="A158" s="2" t="s">
        <v>61</v>
      </c>
      <c r="B158" s="3">
        <v>45658</v>
      </c>
      <c r="C158" s="2" t="s">
        <v>20</v>
      </c>
      <c r="D158" s="2" t="s">
        <v>28</v>
      </c>
      <c r="E158" s="2">
        <v>86883.31</v>
      </c>
      <c r="F158" s="2">
        <v>6424</v>
      </c>
      <c r="G158" s="2">
        <v>5.7000000000000002E-2</v>
      </c>
      <c r="H158" s="2">
        <v>19</v>
      </c>
      <c r="I158" s="2">
        <v>85.2</v>
      </c>
      <c r="J158" s="2">
        <v>3.08</v>
      </c>
      <c r="K158" s="2">
        <v>0</v>
      </c>
      <c r="L158" s="2">
        <v>3.9</v>
      </c>
      <c r="M158" s="2">
        <v>700078.32</v>
      </c>
      <c r="N158" s="2">
        <v>123707.58</v>
      </c>
    </row>
    <row r="159" spans="1:14">
      <c r="A159" s="2" t="s">
        <v>61</v>
      </c>
      <c r="B159" s="3">
        <v>45689</v>
      </c>
      <c r="C159" s="2" t="s">
        <v>20</v>
      </c>
      <c r="D159" s="2" t="s">
        <v>28</v>
      </c>
      <c r="E159" s="2">
        <v>41863.08</v>
      </c>
      <c r="F159" s="2">
        <v>5400</v>
      </c>
      <c r="G159" s="2">
        <v>0.114</v>
      </c>
      <c r="H159" s="2">
        <v>11</v>
      </c>
      <c r="I159" s="2">
        <v>91.6</v>
      </c>
      <c r="J159" s="2">
        <v>7.99</v>
      </c>
      <c r="K159" s="2">
        <v>0</v>
      </c>
      <c r="L159" s="2">
        <v>3</v>
      </c>
      <c r="M159" s="2">
        <v>602002.31999999995</v>
      </c>
      <c r="N159" s="2">
        <v>110453.28</v>
      </c>
    </row>
    <row r="160" spans="1:14">
      <c r="A160" s="2" t="s">
        <v>61</v>
      </c>
      <c r="B160" s="3">
        <v>45717</v>
      </c>
      <c r="C160" s="2" t="s">
        <v>20</v>
      </c>
      <c r="D160" s="2" t="s">
        <v>28</v>
      </c>
      <c r="E160" s="2">
        <v>56918.16</v>
      </c>
      <c r="F160" s="2">
        <v>7015</v>
      </c>
      <c r="G160" s="2">
        <v>0.158</v>
      </c>
      <c r="H160" s="2">
        <v>18</v>
      </c>
      <c r="I160" s="2">
        <v>74.2</v>
      </c>
      <c r="J160" s="2">
        <v>0.2</v>
      </c>
      <c r="K160" s="2">
        <v>0</v>
      </c>
      <c r="L160" s="2">
        <v>3.4</v>
      </c>
      <c r="M160" s="2">
        <v>724216.07</v>
      </c>
      <c r="N160" s="2">
        <v>100627.56</v>
      </c>
    </row>
    <row r="161" spans="1:14">
      <c r="A161" s="2" t="s">
        <v>61</v>
      </c>
      <c r="B161" s="3">
        <v>45748</v>
      </c>
      <c r="C161" s="2" t="s">
        <v>20</v>
      </c>
      <c r="D161" s="2" t="s">
        <v>28</v>
      </c>
      <c r="E161" s="2">
        <v>23254.57</v>
      </c>
      <c r="F161" s="2">
        <v>3847</v>
      </c>
      <c r="G161" s="2">
        <v>0.159</v>
      </c>
      <c r="H161" s="2">
        <v>12</v>
      </c>
      <c r="I161" s="2">
        <v>93</v>
      </c>
      <c r="J161" s="2">
        <v>5.46</v>
      </c>
      <c r="K161" s="2">
        <v>0</v>
      </c>
      <c r="L161" s="2">
        <v>3.3</v>
      </c>
      <c r="M161" s="2">
        <v>620973.03</v>
      </c>
      <c r="N161" s="2">
        <v>72303.850000000006</v>
      </c>
    </row>
    <row r="162" spans="1:14">
      <c r="A162" s="2" t="s">
        <v>62</v>
      </c>
      <c r="B162" s="3">
        <v>45658</v>
      </c>
      <c r="C162" s="2" t="s">
        <v>24</v>
      </c>
      <c r="D162" s="2" t="s">
        <v>18</v>
      </c>
      <c r="E162" s="2">
        <v>41443.410000000003</v>
      </c>
      <c r="F162" s="2">
        <v>7455</v>
      </c>
      <c r="G162" s="2">
        <v>0.17499999999999999</v>
      </c>
      <c r="H162" s="2">
        <v>16</v>
      </c>
      <c r="I162" s="2">
        <v>90.1</v>
      </c>
      <c r="J162" s="2">
        <v>4.05</v>
      </c>
      <c r="K162" s="2">
        <v>0</v>
      </c>
      <c r="L162" s="2">
        <v>4</v>
      </c>
      <c r="M162" s="2">
        <v>650480.06000000006</v>
      </c>
      <c r="N162" s="2">
        <v>109012.07</v>
      </c>
    </row>
    <row r="163" spans="1:14">
      <c r="A163" s="2" t="s">
        <v>62</v>
      </c>
      <c r="B163" s="3">
        <v>45689</v>
      </c>
      <c r="C163" s="2" t="s">
        <v>24</v>
      </c>
      <c r="D163" s="2" t="s">
        <v>18</v>
      </c>
      <c r="E163" s="2">
        <v>48438.85</v>
      </c>
      <c r="F163" s="2">
        <v>6992</v>
      </c>
      <c r="G163" s="2">
        <v>3.4000000000000002E-2</v>
      </c>
      <c r="H163" s="2">
        <v>20</v>
      </c>
      <c r="I163" s="2">
        <v>91</v>
      </c>
      <c r="J163" s="2">
        <v>4.3600000000000003</v>
      </c>
      <c r="K163" s="2">
        <v>0</v>
      </c>
      <c r="L163" s="2">
        <v>4.2</v>
      </c>
      <c r="M163" s="2">
        <v>778298.88</v>
      </c>
      <c r="N163" s="2">
        <v>130076.72</v>
      </c>
    </row>
    <row r="164" spans="1:14">
      <c r="A164" s="2" t="s">
        <v>62</v>
      </c>
      <c r="B164" s="3">
        <v>45717</v>
      </c>
      <c r="C164" s="2" t="s">
        <v>24</v>
      </c>
      <c r="D164" s="2" t="s">
        <v>18</v>
      </c>
      <c r="E164" s="2">
        <v>57143.3</v>
      </c>
      <c r="F164" s="2">
        <v>8038</v>
      </c>
      <c r="G164" s="2">
        <v>0.193</v>
      </c>
      <c r="H164" s="2">
        <v>17</v>
      </c>
      <c r="I164" s="2">
        <v>72.599999999999994</v>
      </c>
      <c r="J164" s="2">
        <v>3.3650000000000002</v>
      </c>
      <c r="K164" s="2">
        <v>0</v>
      </c>
      <c r="L164" s="2">
        <v>4.2</v>
      </c>
      <c r="M164" s="2">
        <v>677096.71</v>
      </c>
      <c r="N164" s="2">
        <v>97174.11</v>
      </c>
    </row>
    <row r="165" spans="1:14">
      <c r="A165" s="2" t="s">
        <v>62</v>
      </c>
      <c r="B165" s="3">
        <v>45748</v>
      </c>
      <c r="C165" s="2" t="s">
        <v>24</v>
      </c>
      <c r="D165" s="2" t="s">
        <v>18</v>
      </c>
      <c r="E165" s="2">
        <v>66870.62</v>
      </c>
      <c r="F165" s="2">
        <v>6055</v>
      </c>
      <c r="G165" s="2">
        <v>7.4999999999999997E-2</v>
      </c>
      <c r="H165" s="2">
        <v>19</v>
      </c>
      <c r="I165" s="2">
        <v>93.8</v>
      </c>
      <c r="J165" s="2">
        <v>0.54</v>
      </c>
      <c r="K165" s="2">
        <v>0</v>
      </c>
      <c r="L165" s="2">
        <v>4.3</v>
      </c>
      <c r="M165" s="2">
        <v>692008.64</v>
      </c>
      <c r="N165" s="2">
        <v>116337.87</v>
      </c>
    </row>
    <row r="166" spans="1:14">
      <c r="A166" s="2" t="s">
        <v>63</v>
      </c>
      <c r="B166" s="3">
        <v>45658</v>
      </c>
      <c r="C166" s="2" t="s">
        <v>20</v>
      </c>
      <c r="D166" s="2" t="s">
        <v>28</v>
      </c>
      <c r="E166" s="2">
        <v>72150.53</v>
      </c>
      <c r="F166" s="2">
        <v>9323</v>
      </c>
      <c r="G166" s="2">
        <v>0.157</v>
      </c>
      <c r="H166" s="2">
        <v>22</v>
      </c>
      <c r="I166" s="2">
        <v>82.9</v>
      </c>
      <c r="J166" s="2">
        <v>11.37</v>
      </c>
      <c r="K166" s="2">
        <v>1</v>
      </c>
      <c r="L166" s="2">
        <v>4.3</v>
      </c>
      <c r="M166" s="2">
        <v>825797.91</v>
      </c>
      <c r="N166" s="2">
        <v>130945.24</v>
      </c>
    </row>
    <row r="167" spans="1:14">
      <c r="A167" s="2" t="s">
        <v>63</v>
      </c>
      <c r="B167" s="3">
        <v>45689</v>
      </c>
      <c r="C167" s="2" t="s">
        <v>20</v>
      </c>
      <c r="D167" s="2" t="s">
        <v>28</v>
      </c>
      <c r="E167" s="2">
        <v>35303.300000000003</v>
      </c>
      <c r="F167" s="2">
        <v>8789</v>
      </c>
      <c r="G167" s="2">
        <v>0.123</v>
      </c>
      <c r="H167" s="2">
        <v>22</v>
      </c>
      <c r="I167" s="2">
        <v>86.1</v>
      </c>
      <c r="J167" s="2">
        <v>9.43</v>
      </c>
      <c r="K167" s="2">
        <v>0</v>
      </c>
      <c r="L167" s="2">
        <v>4.2</v>
      </c>
      <c r="M167" s="2">
        <v>706285.52</v>
      </c>
      <c r="N167" s="2">
        <v>138014.72</v>
      </c>
    </row>
    <row r="168" spans="1:14">
      <c r="A168" s="2" t="s">
        <v>63</v>
      </c>
      <c r="B168" s="3">
        <v>45717</v>
      </c>
      <c r="C168" s="2" t="s">
        <v>20</v>
      </c>
      <c r="D168" s="2" t="s">
        <v>28</v>
      </c>
      <c r="E168" s="2">
        <v>30301.86</v>
      </c>
      <c r="F168" s="2">
        <v>6939</v>
      </c>
      <c r="G168" s="2">
        <v>0.09</v>
      </c>
      <c r="H168" s="2">
        <v>16</v>
      </c>
      <c r="I168" s="2">
        <v>90.3</v>
      </c>
      <c r="J168" s="2">
        <v>3.49</v>
      </c>
      <c r="K168" s="2">
        <v>0</v>
      </c>
      <c r="L168" s="2">
        <v>4</v>
      </c>
      <c r="M168" s="2">
        <v>665534.69999999995</v>
      </c>
      <c r="N168" s="2">
        <v>113167.73</v>
      </c>
    </row>
    <row r="169" spans="1:14">
      <c r="A169" s="2" t="s">
        <v>63</v>
      </c>
      <c r="B169" s="3">
        <v>45748</v>
      </c>
      <c r="C169" s="2" t="s">
        <v>20</v>
      </c>
      <c r="D169" s="2" t="s">
        <v>28</v>
      </c>
      <c r="E169" s="2">
        <v>78432.14</v>
      </c>
      <c r="F169" s="2">
        <v>9440</v>
      </c>
      <c r="G169" s="2">
        <v>0.126</v>
      </c>
      <c r="H169" s="2">
        <v>23</v>
      </c>
      <c r="I169" s="2">
        <v>89.2</v>
      </c>
      <c r="J169" s="2">
        <v>7.86</v>
      </c>
      <c r="K169" s="2">
        <v>0</v>
      </c>
      <c r="L169" s="2">
        <v>4.0999999999999996</v>
      </c>
      <c r="M169" s="2">
        <v>820729.29</v>
      </c>
      <c r="N169" s="2">
        <v>159325.47</v>
      </c>
    </row>
    <row r="170" spans="1:14">
      <c r="A170" s="2" t="s">
        <v>64</v>
      </c>
      <c r="B170" s="3">
        <v>45658</v>
      </c>
      <c r="C170" s="2" t="s">
        <v>15</v>
      </c>
      <c r="D170" s="2" t="s">
        <v>16</v>
      </c>
      <c r="E170" s="2">
        <v>62059.18</v>
      </c>
      <c r="F170" s="2">
        <v>9374</v>
      </c>
      <c r="G170" s="2">
        <v>0.13600000000000001</v>
      </c>
      <c r="H170" s="2">
        <v>25</v>
      </c>
      <c r="I170" s="2">
        <v>87.1</v>
      </c>
      <c r="J170" s="2">
        <v>12.55</v>
      </c>
      <c r="K170" s="2">
        <v>0</v>
      </c>
      <c r="L170" s="2">
        <v>4.9000000000000004</v>
      </c>
      <c r="M170" s="2">
        <v>739831.73</v>
      </c>
      <c r="N170" s="2">
        <v>119490.21</v>
      </c>
    </row>
    <row r="171" spans="1:14">
      <c r="A171" s="2" t="s">
        <v>64</v>
      </c>
      <c r="B171" s="3">
        <v>45689</v>
      </c>
      <c r="C171" s="2" t="s">
        <v>15</v>
      </c>
      <c r="D171" s="2" t="s">
        <v>16</v>
      </c>
      <c r="E171" s="2">
        <v>32834.480000000003</v>
      </c>
      <c r="F171" s="2">
        <v>7576</v>
      </c>
      <c r="G171" s="2">
        <v>9.9000000000000005E-2</v>
      </c>
      <c r="H171" s="2">
        <v>15</v>
      </c>
      <c r="I171" s="2">
        <v>84.1</v>
      </c>
      <c r="J171" s="2">
        <v>3.48</v>
      </c>
      <c r="K171" s="2">
        <v>0</v>
      </c>
      <c r="L171" s="2">
        <v>5</v>
      </c>
      <c r="M171" s="2">
        <v>593637.14</v>
      </c>
      <c r="N171" s="2">
        <v>106648.14</v>
      </c>
    </row>
    <row r="172" spans="1:14">
      <c r="A172" s="2" t="s">
        <v>64</v>
      </c>
      <c r="B172" s="3">
        <v>45717</v>
      </c>
      <c r="C172" s="2" t="s">
        <v>15</v>
      </c>
      <c r="D172" s="2" t="s">
        <v>16</v>
      </c>
      <c r="E172" s="2">
        <v>50825.08</v>
      </c>
      <c r="F172" s="2">
        <v>8949</v>
      </c>
      <c r="G172" s="2">
        <v>0.157</v>
      </c>
      <c r="H172" s="2">
        <v>21</v>
      </c>
      <c r="I172" s="2">
        <v>84.7</v>
      </c>
      <c r="J172" s="2">
        <v>7.73</v>
      </c>
      <c r="K172" s="2">
        <v>0</v>
      </c>
      <c r="L172" s="2">
        <v>4.9000000000000004</v>
      </c>
      <c r="M172" s="2">
        <v>769702.76</v>
      </c>
      <c r="N172" s="2">
        <v>158697</v>
      </c>
    </row>
    <row r="173" spans="1:14">
      <c r="A173" s="2" t="s">
        <v>64</v>
      </c>
      <c r="B173" s="3">
        <v>45748</v>
      </c>
      <c r="C173" s="2" t="s">
        <v>15</v>
      </c>
      <c r="D173" s="2" t="s">
        <v>16</v>
      </c>
      <c r="E173" s="2">
        <v>36606.51</v>
      </c>
      <c r="F173" s="2">
        <v>7671</v>
      </c>
      <c r="G173" s="2">
        <v>0.11799999999999999</v>
      </c>
      <c r="H173" s="2">
        <v>18</v>
      </c>
      <c r="I173" s="2">
        <v>89.8</v>
      </c>
      <c r="J173" s="2">
        <v>0.25</v>
      </c>
      <c r="K173" s="2">
        <v>0</v>
      </c>
      <c r="L173" s="2">
        <v>4.4000000000000004</v>
      </c>
      <c r="M173" s="2">
        <v>679731.57</v>
      </c>
      <c r="N173" s="2">
        <v>121546.42</v>
      </c>
    </row>
    <row r="174" spans="1:14">
      <c r="A174" s="2" t="s">
        <v>65</v>
      </c>
      <c r="B174" s="3">
        <v>45658</v>
      </c>
      <c r="C174" s="2" t="s">
        <v>15</v>
      </c>
      <c r="D174" s="2" t="s">
        <v>16</v>
      </c>
      <c r="E174" s="2">
        <v>65237.79</v>
      </c>
      <c r="F174" s="2">
        <v>8741</v>
      </c>
      <c r="G174" s="2">
        <v>0.157</v>
      </c>
      <c r="H174" s="2">
        <v>20</v>
      </c>
      <c r="I174" s="2">
        <v>94.4</v>
      </c>
      <c r="J174" s="2">
        <v>6.43</v>
      </c>
      <c r="K174" s="2">
        <v>0</v>
      </c>
      <c r="L174" s="2">
        <v>3.3</v>
      </c>
      <c r="M174" s="2">
        <v>780344.18</v>
      </c>
      <c r="N174" s="2">
        <v>118239.09</v>
      </c>
    </row>
    <row r="175" spans="1:14">
      <c r="A175" s="2" t="s">
        <v>65</v>
      </c>
      <c r="B175" s="3">
        <v>45689</v>
      </c>
      <c r="C175" s="2" t="s">
        <v>15</v>
      </c>
      <c r="D175" s="2" t="s">
        <v>16</v>
      </c>
      <c r="E175" s="2">
        <v>43645.98</v>
      </c>
      <c r="F175" s="2">
        <v>9480</v>
      </c>
      <c r="G175" s="2">
        <v>0.109</v>
      </c>
      <c r="H175" s="2">
        <v>22</v>
      </c>
      <c r="I175" s="2">
        <v>89</v>
      </c>
      <c r="J175" s="2">
        <v>2.11</v>
      </c>
      <c r="K175" s="2">
        <v>0</v>
      </c>
      <c r="L175" s="2">
        <v>3.1</v>
      </c>
      <c r="M175" s="2">
        <v>721364.11</v>
      </c>
      <c r="N175" s="2">
        <v>147272.81</v>
      </c>
    </row>
    <row r="176" spans="1:14">
      <c r="A176" s="2" t="s">
        <v>65</v>
      </c>
      <c r="B176" s="3">
        <v>45717</v>
      </c>
      <c r="C176" s="2" t="s">
        <v>15</v>
      </c>
      <c r="D176" s="2" t="s">
        <v>16</v>
      </c>
      <c r="E176" s="2">
        <v>68040.149999999994</v>
      </c>
      <c r="F176" s="2">
        <v>9826</v>
      </c>
      <c r="G176" s="2">
        <v>0.125</v>
      </c>
      <c r="H176" s="2">
        <v>20</v>
      </c>
      <c r="I176" s="2">
        <v>83.9</v>
      </c>
      <c r="J176" s="2">
        <v>9.1199999999999992</v>
      </c>
      <c r="K176" s="2">
        <v>0</v>
      </c>
      <c r="L176" s="2">
        <v>3.6</v>
      </c>
      <c r="M176" s="2">
        <v>758138.29</v>
      </c>
      <c r="N176" s="2">
        <v>132975.26</v>
      </c>
    </row>
    <row r="177" spans="1:14">
      <c r="A177" s="2" t="s">
        <v>65</v>
      </c>
      <c r="B177" s="3">
        <v>45748</v>
      </c>
      <c r="C177" s="2" t="s">
        <v>15</v>
      </c>
      <c r="D177" s="2" t="s">
        <v>16</v>
      </c>
      <c r="E177" s="2">
        <v>63043.94</v>
      </c>
      <c r="F177" s="2">
        <v>10402</v>
      </c>
      <c r="G177" s="2">
        <v>0.159</v>
      </c>
      <c r="H177" s="2">
        <v>23</v>
      </c>
      <c r="I177" s="2">
        <v>93.9</v>
      </c>
      <c r="J177" s="2">
        <v>2.71</v>
      </c>
      <c r="K177" s="2">
        <v>0</v>
      </c>
      <c r="L177" s="2">
        <v>3.1</v>
      </c>
      <c r="M177" s="2">
        <v>804264</v>
      </c>
      <c r="N177" s="2">
        <v>167117.91</v>
      </c>
    </row>
    <row r="178" spans="1:14">
      <c r="A178" s="2" t="s">
        <v>66</v>
      </c>
      <c r="B178" s="3">
        <v>45658</v>
      </c>
      <c r="C178" s="2" t="s">
        <v>27</v>
      </c>
      <c r="D178" s="2" t="s">
        <v>21</v>
      </c>
      <c r="E178" s="2">
        <v>67494.09</v>
      </c>
      <c r="F178" s="2">
        <v>12361</v>
      </c>
      <c r="G178" s="2">
        <v>4.5999999999999999E-2</v>
      </c>
      <c r="H178" s="2">
        <v>24</v>
      </c>
      <c r="I178" s="2">
        <v>76.599999999999994</v>
      </c>
      <c r="J178" s="2">
        <v>3.65</v>
      </c>
      <c r="K178" s="2">
        <v>1</v>
      </c>
      <c r="L178" s="2">
        <v>3.7</v>
      </c>
      <c r="M178" s="2">
        <v>887537.75</v>
      </c>
      <c r="N178" s="2">
        <v>160362.92000000001</v>
      </c>
    </row>
    <row r="179" spans="1:14">
      <c r="A179" s="2" t="s">
        <v>66</v>
      </c>
      <c r="B179" s="3">
        <v>45689</v>
      </c>
      <c r="C179" s="2" t="s">
        <v>27</v>
      </c>
      <c r="D179" s="2" t="s">
        <v>21</v>
      </c>
      <c r="E179" s="2">
        <v>29389.32</v>
      </c>
      <c r="F179" s="2">
        <v>7925</v>
      </c>
      <c r="G179" s="2">
        <v>0.17699999999999999</v>
      </c>
      <c r="H179" s="2">
        <v>21</v>
      </c>
      <c r="I179" s="2">
        <v>90.9</v>
      </c>
      <c r="J179" s="2">
        <v>7.86</v>
      </c>
      <c r="K179" s="2">
        <v>0</v>
      </c>
      <c r="L179" s="2">
        <v>4</v>
      </c>
      <c r="M179" s="2">
        <v>783582</v>
      </c>
      <c r="N179" s="2">
        <v>130670.93</v>
      </c>
    </row>
    <row r="180" spans="1:14">
      <c r="A180" s="2" t="s">
        <v>66</v>
      </c>
      <c r="B180" s="3">
        <v>45717</v>
      </c>
      <c r="C180" s="2" t="s">
        <v>27</v>
      </c>
      <c r="D180" s="2" t="s">
        <v>21</v>
      </c>
      <c r="E180" s="2">
        <v>40535.089999999997</v>
      </c>
      <c r="F180" s="2">
        <v>8870</v>
      </c>
      <c r="G180" s="2">
        <v>4.1000000000000002E-2</v>
      </c>
      <c r="H180" s="2">
        <v>21</v>
      </c>
      <c r="I180" s="2">
        <v>86.6</v>
      </c>
      <c r="J180" s="2">
        <v>0.3</v>
      </c>
      <c r="K180" s="2">
        <v>0</v>
      </c>
      <c r="L180" s="2">
        <v>4.0999999999999996</v>
      </c>
      <c r="M180" s="2">
        <v>781955.52</v>
      </c>
      <c r="N180" s="2">
        <v>152578.71</v>
      </c>
    </row>
    <row r="181" spans="1:14">
      <c r="A181" s="2" t="s">
        <v>66</v>
      </c>
      <c r="B181" s="3">
        <v>45748</v>
      </c>
      <c r="C181" s="2" t="s">
        <v>27</v>
      </c>
      <c r="D181" s="2" t="s">
        <v>21</v>
      </c>
      <c r="E181" s="2">
        <v>74881.56</v>
      </c>
      <c r="F181" s="2">
        <v>9999</v>
      </c>
      <c r="G181" s="2">
        <v>1.2999999999999999E-2</v>
      </c>
      <c r="H181" s="2">
        <v>20</v>
      </c>
      <c r="I181" s="2">
        <v>89.6</v>
      </c>
      <c r="J181" s="2">
        <v>8.44</v>
      </c>
      <c r="K181" s="2">
        <v>0</v>
      </c>
      <c r="L181" s="2">
        <v>4.0999999999999996</v>
      </c>
      <c r="M181" s="2">
        <v>898031.04</v>
      </c>
      <c r="N181" s="2">
        <v>138666.5</v>
      </c>
    </row>
    <row r="182" spans="1:14">
      <c r="A182" s="2" t="s">
        <v>67</v>
      </c>
      <c r="B182" s="3">
        <v>45658</v>
      </c>
      <c r="C182" s="2" t="s">
        <v>27</v>
      </c>
      <c r="D182" s="2" t="s">
        <v>16</v>
      </c>
      <c r="E182" s="2">
        <v>68491.11</v>
      </c>
      <c r="F182" s="2">
        <v>11154</v>
      </c>
      <c r="G182" s="2">
        <v>1E-3</v>
      </c>
      <c r="H182" s="2">
        <v>24</v>
      </c>
      <c r="I182" s="2">
        <v>89.4</v>
      </c>
      <c r="J182" s="2">
        <v>5.27</v>
      </c>
      <c r="K182" s="2">
        <v>1</v>
      </c>
      <c r="L182" s="2">
        <v>3.9</v>
      </c>
      <c r="M182" s="2">
        <v>855341.28</v>
      </c>
      <c r="N182" s="2">
        <v>175823.8</v>
      </c>
    </row>
    <row r="183" spans="1:14">
      <c r="A183" s="2" t="s">
        <v>67</v>
      </c>
      <c r="B183" s="3">
        <v>45689</v>
      </c>
      <c r="C183" s="2" t="s">
        <v>27</v>
      </c>
      <c r="D183" s="2" t="s">
        <v>16</v>
      </c>
      <c r="E183" s="2">
        <v>45209.25</v>
      </c>
      <c r="F183" s="2">
        <v>9287</v>
      </c>
      <c r="G183" s="2">
        <v>0.14099999999999999</v>
      </c>
      <c r="H183" s="2">
        <v>22</v>
      </c>
      <c r="I183" s="2">
        <v>86.4</v>
      </c>
      <c r="J183" s="2">
        <v>13.22</v>
      </c>
      <c r="K183" s="2">
        <v>0</v>
      </c>
      <c r="L183" s="2">
        <v>3.6</v>
      </c>
      <c r="M183" s="2">
        <v>751393.88</v>
      </c>
      <c r="N183" s="2">
        <v>91480.320000000007</v>
      </c>
    </row>
    <row r="184" spans="1:14">
      <c r="A184" s="2" t="s">
        <v>67</v>
      </c>
      <c r="B184" s="3">
        <v>45717</v>
      </c>
      <c r="C184" s="2" t="s">
        <v>27</v>
      </c>
      <c r="D184" s="2" t="s">
        <v>16</v>
      </c>
      <c r="E184" s="2">
        <v>63010.23</v>
      </c>
      <c r="F184" s="2">
        <v>9812</v>
      </c>
      <c r="G184" s="2">
        <v>0.113</v>
      </c>
      <c r="H184" s="2">
        <v>24</v>
      </c>
      <c r="I184" s="2">
        <v>76.8</v>
      </c>
      <c r="J184" s="2">
        <v>1.02</v>
      </c>
      <c r="K184" s="2">
        <v>1</v>
      </c>
      <c r="L184" s="2">
        <v>3.8</v>
      </c>
      <c r="M184" s="2">
        <v>761077.08</v>
      </c>
      <c r="N184" s="2">
        <v>113605.93</v>
      </c>
    </row>
    <row r="185" spans="1:14">
      <c r="A185" s="2" t="s">
        <v>67</v>
      </c>
      <c r="B185" s="3">
        <v>45748</v>
      </c>
      <c r="C185" s="2" t="s">
        <v>27</v>
      </c>
      <c r="D185" s="2" t="s">
        <v>16</v>
      </c>
      <c r="E185" s="2">
        <v>57948.88</v>
      </c>
      <c r="F185" s="2">
        <v>10741</v>
      </c>
      <c r="G185" s="2">
        <v>7.0000000000000007E-2</v>
      </c>
      <c r="H185" s="2">
        <v>25</v>
      </c>
      <c r="I185" s="2">
        <v>90.1</v>
      </c>
      <c r="J185" s="2">
        <v>4.03</v>
      </c>
      <c r="K185" s="2">
        <v>0</v>
      </c>
      <c r="L185" s="2">
        <v>3.1</v>
      </c>
      <c r="M185" s="2">
        <v>819660.59</v>
      </c>
      <c r="N185" s="2">
        <v>172699.95</v>
      </c>
    </row>
    <row r="186" spans="1:14">
      <c r="A186" s="2" t="s">
        <v>68</v>
      </c>
      <c r="B186" s="3">
        <v>45658</v>
      </c>
      <c r="C186" s="2" t="s">
        <v>20</v>
      </c>
      <c r="D186" s="2" t="s">
        <v>18</v>
      </c>
      <c r="E186" s="2">
        <v>71941.62</v>
      </c>
      <c r="F186" s="2">
        <v>6084</v>
      </c>
      <c r="G186" s="2">
        <v>7.1999999999999995E-2</v>
      </c>
      <c r="H186" s="2">
        <v>13</v>
      </c>
      <c r="I186" s="2">
        <v>93.7</v>
      </c>
      <c r="J186" s="2">
        <v>2.34</v>
      </c>
      <c r="K186" s="2">
        <v>0</v>
      </c>
      <c r="L186" s="2">
        <v>4.4000000000000004</v>
      </c>
      <c r="M186" s="2">
        <v>681855.56</v>
      </c>
      <c r="N186" s="2">
        <v>117645.61</v>
      </c>
    </row>
    <row r="187" spans="1:14">
      <c r="A187" s="2" t="s">
        <v>68</v>
      </c>
      <c r="B187" s="3">
        <v>45689</v>
      </c>
      <c r="C187" s="2" t="s">
        <v>20</v>
      </c>
      <c r="D187" s="2" t="s">
        <v>18</v>
      </c>
      <c r="E187" s="2">
        <v>57147.88</v>
      </c>
      <c r="F187" s="2">
        <v>5252</v>
      </c>
      <c r="G187" s="2">
        <v>0.161</v>
      </c>
      <c r="H187" s="2">
        <v>15</v>
      </c>
      <c r="I187" s="2">
        <v>95.5</v>
      </c>
      <c r="J187" s="2">
        <v>8.51</v>
      </c>
      <c r="K187" s="2">
        <v>0</v>
      </c>
      <c r="L187" s="2">
        <v>4.4000000000000004</v>
      </c>
      <c r="M187" s="2">
        <v>678311.17</v>
      </c>
      <c r="N187" s="2">
        <v>132029.76000000001</v>
      </c>
    </row>
    <row r="188" spans="1:14">
      <c r="A188" s="2" t="s">
        <v>68</v>
      </c>
      <c r="B188" s="3">
        <v>45717</v>
      </c>
      <c r="C188" s="2" t="s">
        <v>20</v>
      </c>
      <c r="D188" s="2" t="s">
        <v>18</v>
      </c>
      <c r="E188" s="2">
        <v>48031.74</v>
      </c>
      <c r="F188" s="2">
        <v>6516</v>
      </c>
      <c r="G188" s="2">
        <v>6.7000000000000004E-2</v>
      </c>
      <c r="H188" s="2">
        <v>14</v>
      </c>
      <c r="I188" s="2">
        <v>99</v>
      </c>
      <c r="J188" s="2">
        <v>0.48</v>
      </c>
      <c r="K188" s="2">
        <v>1</v>
      </c>
      <c r="L188" s="2">
        <v>4.3</v>
      </c>
      <c r="M188" s="2">
        <v>765906.95</v>
      </c>
      <c r="N188" s="2">
        <v>114005.9</v>
      </c>
    </row>
    <row r="189" spans="1:14">
      <c r="A189" s="2" t="s">
        <v>68</v>
      </c>
      <c r="B189" s="3">
        <v>45748</v>
      </c>
      <c r="C189" s="2" t="s">
        <v>20</v>
      </c>
      <c r="D189" s="2" t="s">
        <v>18</v>
      </c>
      <c r="E189" s="2">
        <v>72784.800000000003</v>
      </c>
      <c r="F189" s="2">
        <v>7932</v>
      </c>
      <c r="G189" s="2">
        <v>9.4E-2</v>
      </c>
      <c r="H189" s="2">
        <v>20</v>
      </c>
      <c r="I189" s="2">
        <v>74.900000000000006</v>
      </c>
      <c r="J189" s="2">
        <v>13.62</v>
      </c>
      <c r="K189" s="2">
        <v>0</v>
      </c>
      <c r="L189" s="2">
        <v>4.2</v>
      </c>
      <c r="M189" s="2">
        <v>712546.38</v>
      </c>
      <c r="N189" s="2">
        <v>101480.04</v>
      </c>
    </row>
    <row r="190" spans="1:14">
      <c r="A190" s="2" t="s">
        <v>69</v>
      </c>
      <c r="B190" s="3">
        <v>45658</v>
      </c>
      <c r="C190" s="2" t="s">
        <v>15</v>
      </c>
      <c r="D190" s="2" t="s">
        <v>18</v>
      </c>
      <c r="E190" s="2">
        <v>71641.899999999994</v>
      </c>
      <c r="F190" s="2">
        <v>3506</v>
      </c>
      <c r="G190" s="2">
        <v>0</v>
      </c>
      <c r="H190" s="2">
        <v>11</v>
      </c>
      <c r="I190" s="2">
        <v>86.4</v>
      </c>
      <c r="J190" s="2">
        <v>7.77</v>
      </c>
      <c r="K190" s="2">
        <v>0</v>
      </c>
      <c r="L190" s="2">
        <v>4.0999999999999996</v>
      </c>
      <c r="M190" s="2">
        <v>625993.82999999996</v>
      </c>
      <c r="N190" s="2">
        <v>98960.320000000007</v>
      </c>
    </row>
    <row r="191" spans="1:14">
      <c r="A191" s="2" t="s">
        <v>69</v>
      </c>
      <c r="B191" s="3">
        <v>45689</v>
      </c>
      <c r="C191" s="2" t="s">
        <v>15</v>
      </c>
      <c r="D191" s="2" t="s">
        <v>18</v>
      </c>
      <c r="E191" s="2">
        <v>55788.61</v>
      </c>
      <c r="F191" s="2">
        <v>2312</v>
      </c>
      <c r="G191" s="2">
        <v>5.8000000000000003E-2</v>
      </c>
      <c r="H191" s="2">
        <v>10</v>
      </c>
      <c r="I191" s="2">
        <v>91.3</v>
      </c>
      <c r="J191" s="2">
        <v>1.99</v>
      </c>
      <c r="K191" s="2">
        <v>0</v>
      </c>
      <c r="L191" s="2">
        <v>3.8</v>
      </c>
      <c r="M191" s="2">
        <v>550962.93000000005</v>
      </c>
      <c r="N191" s="2">
        <v>97144.58</v>
      </c>
    </row>
    <row r="192" spans="1:14">
      <c r="A192" s="2" t="s">
        <v>69</v>
      </c>
      <c r="B192" s="3">
        <v>45717</v>
      </c>
      <c r="C192" s="2" t="s">
        <v>15</v>
      </c>
      <c r="D192" s="2" t="s">
        <v>18</v>
      </c>
      <c r="E192" s="2">
        <v>37705.879999999997</v>
      </c>
      <c r="F192" s="2">
        <v>1268</v>
      </c>
      <c r="G192" s="2">
        <v>0.25900000000000001</v>
      </c>
      <c r="H192" s="2">
        <v>9</v>
      </c>
      <c r="I192" s="2">
        <v>84.1</v>
      </c>
      <c r="J192" s="2">
        <v>4.7699999999999996</v>
      </c>
      <c r="K192" s="2">
        <v>0</v>
      </c>
      <c r="L192" s="2">
        <v>3.8</v>
      </c>
      <c r="M192" s="2">
        <v>443275.59</v>
      </c>
      <c r="N192" s="2">
        <v>53544.36</v>
      </c>
    </row>
    <row r="193" spans="1:14">
      <c r="A193" s="2" t="s">
        <v>69</v>
      </c>
      <c r="B193" s="3">
        <v>45748</v>
      </c>
      <c r="C193" s="2" t="s">
        <v>15</v>
      </c>
      <c r="D193" s="2" t="s">
        <v>18</v>
      </c>
      <c r="E193" s="2">
        <v>54966.18</v>
      </c>
      <c r="F193" s="2">
        <v>4423</v>
      </c>
      <c r="G193" s="2">
        <v>0.186</v>
      </c>
      <c r="H193" s="2">
        <v>13</v>
      </c>
      <c r="I193" s="2">
        <v>88.7</v>
      </c>
      <c r="J193" s="2">
        <v>0.2</v>
      </c>
      <c r="K193" s="2">
        <v>0</v>
      </c>
      <c r="L193" s="2">
        <v>4.4000000000000004</v>
      </c>
      <c r="M193" s="2">
        <v>554012.06999999995</v>
      </c>
      <c r="N193" s="2">
        <v>81101.62</v>
      </c>
    </row>
    <row r="194" spans="1:14">
      <c r="A194" s="2" t="s">
        <v>70</v>
      </c>
      <c r="B194" s="3">
        <v>45658</v>
      </c>
      <c r="C194" s="2" t="s">
        <v>27</v>
      </c>
      <c r="D194" s="2" t="s">
        <v>16</v>
      </c>
      <c r="E194" s="2">
        <v>81796.740000000005</v>
      </c>
      <c r="F194" s="2">
        <v>6177</v>
      </c>
      <c r="G194" s="2">
        <v>0.16400000000000001</v>
      </c>
      <c r="H194" s="2">
        <v>14</v>
      </c>
      <c r="I194" s="2">
        <v>87.9</v>
      </c>
      <c r="J194" s="2">
        <v>0.53</v>
      </c>
      <c r="K194" s="2">
        <v>0</v>
      </c>
      <c r="L194" s="2">
        <v>3.2</v>
      </c>
      <c r="M194" s="2">
        <v>643428.85</v>
      </c>
      <c r="N194" s="2">
        <v>94477.63</v>
      </c>
    </row>
    <row r="195" spans="1:14">
      <c r="A195" s="2" t="s">
        <v>70</v>
      </c>
      <c r="B195" s="3">
        <v>45689</v>
      </c>
      <c r="C195" s="2" t="s">
        <v>27</v>
      </c>
      <c r="D195" s="2" t="s">
        <v>16</v>
      </c>
      <c r="E195" s="2">
        <v>51133.43</v>
      </c>
      <c r="F195" s="2">
        <v>5150</v>
      </c>
      <c r="G195" s="2">
        <v>0.15</v>
      </c>
      <c r="H195" s="2">
        <v>12</v>
      </c>
      <c r="I195" s="2">
        <v>88.5</v>
      </c>
      <c r="J195" s="2">
        <v>1.54</v>
      </c>
      <c r="K195" s="2">
        <v>0</v>
      </c>
      <c r="L195" s="2">
        <v>3.2</v>
      </c>
      <c r="M195" s="2">
        <v>611924.27</v>
      </c>
      <c r="N195" s="2">
        <v>115488.75</v>
      </c>
    </row>
    <row r="196" spans="1:14">
      <c r="A196" s="2" t="s">
        <v>70</v>
      </c>
      <c r="B196" s="3">
        <v>45717</v>
      </c>
      <c r="C196" s="2" t="s">
        <v>27</v>
      </c>
      <c r="D196" s="2" t="s">
        <v>16</v>
      </c>
      <c r="E196" s="2">
        <v>40220.18</v>
      </c>
      <c r="F196" s="2">
        <v>3783</v>
      </c>
      <c r="G196" s="2">
        <v>8.8999999999999996E-2</v>
      </c>
      <c r="H196" s="2">
        <v>14</v>
      </c>
      <c r="I196" s="2">
        <v>86.6</v>
      </c>
      <c r="J196" s="2">
        <v>3.63</v>
      </c>
      <c r="K196" s="2">
        <v>0</v>
      </c>
      <c r="L196" s="2">
        <v>3.7</v>
      </c>
      <c r="M196" s="2">
        <v>559422.02</v>
      </c>
      <c r="N196" s="2">
        <v>73528.740000000005</v>
      </c>
    </row>
    <row r="197" spans="1:14">
      <c r="A197" s="2" t="s">
        <v>70</v>
      </c>
      <c r="B197" s="3">
        <v>45748</v>
      </c>
      <c r="C197" s="2" t="s">
        <v>27</v>
      </c>
      <c r="D197" s="2" t="s">
        <v>16</v>
      </c>
      <c r="E197" s="2">
        <v>41657.64</v>
      </c>
      <c r="F197" s="2">
        <v>3135</v>
      </c>
      <c r="G197" s="2">
        <v>0.22900000000000001</v>
      </c>
      <c r="H197" s="2">
        <v>7</v>
      </c>
      <c r="I197" s="2">
        <v>85.4</v>
      </c>
      <c r="J197" s="2">
        <v>13.48</v>
      </c>
      <c r="K197" s="2">
        <v>0</v>
      </c>
      <c r="L197" s="4">
        <v>3.9</v>
      </c>
      <c r="M197" s="2">
        <v>449465.06</v>
      </c>
      <c r="N197" s="2">
        <v>65694.78</v>
      </c>
    </row>
    <row r="198" spans="1:14">
      <c r="A198" s="2" t="s">
        <v>71</v>
      </c>
      <c r="B198" s="3">
        <v>45658</v>
      </c>
      <c r="C198" s="2" t="s">
        <v>20</v>
      </c>
      <c r="D198" s="2" t="s">
        <v>16</v>
      </c>
      <c r="E198" s="2">
        <v>71851.45</v>
      </c>
      <c r="F198" s="2">
        <v>4970</v>
      </c>
      <c r="G198" s="2">
        <v>9.8000000000000004E-2</v>
      </c>
      <c r="H198" s="2">
        <v>11</v>
      </c>
      <c r="I198" s="2">
        <v>89.6</v>
      </c>
      <c r="J198" s="2">
        <v>0.2</v>
      </c>
      <c r="K198" s="2">
        <v>0</v>
      </c>
      <c r="L198" s="2">
        <v>4.2</v>
      </c>
      <c r="M198" s="2">
        <v>691447.43</v>
      </c>
      <c r="N198" s="2">
        <v>114077.69</v>
      </c>
    </row>
    <row r="199" spans="1:14">
      <c r="A199" s="2" t="s">
        <v>71</v>
      </c>
      <c r="B199" s="3">
        <v>45689</v>
      </c>
      <c r="C199" s="2" t="s">
        <v>20</v>
      </c>
      <c r="D199" s="2" t="s">
        <v>16</v>
      </c>
      <c r="E199" s="2">
        <v>54002.83</v>
      </c>
      <c r="F199" s="2">
        <v>4366</v>
      </c>
      <c r="G199" s="2">
        <v>2.7E-2</v>
      </c>
      <c r="H199" s="2">
        <v>15</v>
      </c>
      <c r="I199" s="2">
        <v>90.6</v>
      </c>
      <c r="J199" s="2">
        <v>12.82</v>
      </c>
      <c r="K199" s="2">
        <v>0</v>
      </c>
      <c r="L199" s="2">
        <v>4.5999999999999996</v>
      </c>
      <c r="M199" s="2">
        <v>574066.61</v>
      </c>
      <c r="N199" s="2">
        <v>124674.67</v>
      </c>
    </row>
    <row r="200" spans="1:14">
      <c r="A200" s="2" t="s">
        <v>71</v>
      </c>
      <c r="B200" s="3">
        <v>45717</v>
      </c>
      <c r="C200" s="2" t="s">
        <v>20</v>
      </c>
      <c r="D200" s="2" t="s">
        <v>16</v>
      </c>
      <c r="E200" s="2">
        <v>54479.33</v>
      </c>
      <c r="F200" s="2">
        <v>5012</v>
      </c>
      <c r="G200" s="2">
        <v>0.28399999999999997</v>
      </c>
      <c r="H200" s="2">
        <v>13</v>
      </c>
      <c r="I200" s="2">
        <v>86</v>
      </c>
      <c r="J200" s="2">
        <v>2.2400000000000002</v>
      </c>
      <c r="K200" s="2">
        <v>1</v>
      </c>
      <c r="L200" s="2">
        <v>4.3</v>
      </c>
      <c r="M200" s="2">
        <v>578949.84</v>
      </c>
      <c r="N200" s="2">
        <v>80253.649999999994</v>
      </c>
    </row>
    <row r="201" spans="1:14">
      <c r="A201" s="2" t="s">
        <v>71</v>
      </c>
      <c r="B201" s="3">
        <v>45748</v>
      </c>
      <c r="C201" s="2" t="s">
        <v>20</v>
      </c>
      <c r="D201" s="2" t="s">
        <v>16</v>
      </c>
      <c r="E201" s="2">
        <v>61391.8</v>
      </c>
      <c r="F201" s="2">
        <v>5575</v>
      </c>
      <c r="G201" s="2">
        <v>0.189</v>
      </c>
      <c r="H201" s="2">
        <v>18</v>
      </c>
      <c r="I201" s="2">
        <v>90</v>
      </c>
      <c r="J201" s="2">
        <v>1.8</v>
      </c>
      <c r="K201" s="2">
        <v>0</v>
      </c>
      <c r="L201" s="2">
        <v>4.8</v>
      </c>
      <c r="M201" s="2">
        <v>735786.64</v>
      </c>
      <c r="N201" s="2">
        <v>126540.66</v>
      </c>
    </row>
    <row r="202" spans="1:14">
      <c r="A202" s="2" t="s">
        <v>72</v>
      </c>
      <c r="B202" s="3">
        <v>45658</v>
      </c>
      <c r="C202" s="2" t="s">
        <v>15</v>
      </c>
      <c r="D202" s="2" t="s">
        <v>21</v>
      </c>
      <c r="E202" s="2">
        <v>22312.93</v>
      </c>
      <c r="F202" s="2">
        <v>5955</v>
      </c>
      <c r="G202" s="2">
        <v>0.123</v>
      </c>
      <c r="H202" s="2">
        <v>13</v>
      </c>
      <c r="I202" s="2">
        <v>84.2</v>
      </c>
      <c r="J202" s="2">
        <v>0.41</v>
      </c>
      <c r="K202" s="2">
        <v>1</v>
      </c>
      <c r="L202" s="2">
        <v>4.5999999999999996</v>
      </c>
      <c r="M202" s="2">
        <v>598904.9</v>
      </c>
      <c r="N202" s="2">
        <v>72861</v>
      </c>
    </row>
    <row r="203" spans="1:14">
      <c r="A203" s="2" t="s">
        <v>72</v>
      </c>
      <c r="B203" s="3">
        <v>45689</v>
      </c>
      <c r="C203" s="2" t="s">
        <v>15</v>
      </c>
      <c r="D203" s="2" t="s">
        <v>21</v>
      </c>
      <c r="E203" s="2">
        <v>78111.97</v>
      </c>
      <c r="F203" s="2">
        <v>6389</v>
      </c>
      <c r="G203" s="2">
        <v>0.15</v>
      </c>
      <c r="H203" s="2">
        <v>13</v>
      </c>
      <c r="I203" s="2">
        <v>83.9</v>
      </c>
      <c r="J203" s="2">
        <v>3.05</v>
      </c>
      <c r="K203" s="2">
        <v>0</v>
      </c>
      <c r="L203" s="2">
        <v>4.8</v>
      </c>
      <c r="M203" s="2">
        <v>787715.51</v>
      </c>
      <c r="N203" s="2">
        <v>128969.62</v>
      </c>
    </row>
    <row r="204" spans="1:14">
      <c r="A204" s="2" t="s">
        <v>72</v>
      </c>
      <c r="B204" s="3">
        <v>45717</v>
      </c>
      <c r="C204" s="2" t="s">
        <v>15</v>
      </c>
      <c r="D204" s="2" t="s">
        <v>21</v>
      </c>
      <c r="E204" s="2">
        <v>35203.230000000003</v>
      </c>
      <c r="F204" s="2">
        <v>6896</v>
      </c>
      <c r="G204" s="2">
        <v>3.2000000000000001E-2</v>
      </c>
      <c r="H204" s="2">
        <v>14</v>
      </c>
      <c r="I204" s="2">
        <v>80.8</v>
      </c>
      <c r="J204" s="2">
        <v>8.44</v>
      </c>
      <c r="K204" s="2">
        <v>1</v>
      </c>
      <c r="L204" s="2">
        <v>5</v>
      </c>
      <c r="M204" s="2">
        <v>607084.92000000004</v>
      </c>
      <c r="N204" s="2">
        <v>98558.49</v>
      </c>
    </row>
    <row r="205" spans="1:14">
      <c r="A205" s="2" t="s">
        <v>72</v>
      </c>
      <c r="B205" s="3">
        <v>45748</v>
      </c>
      <c r="C205" s="2" t="s">
        <v>15</v>
      </c>
      <c r="D205" s="2" t="s">
        <v>21</v>
      </c>
      <c r="E205" s="2">
        <v>64104.28</v>
      </c>
      <c r="F205" s="2">
        <v>6015</v>
      </c>
      <c r="G205" s="2">
        <v>0.127</v>
      </c>
      <c r="H205" s="2">
        <v>15</v>
      </c>
      <c r="I205" s="2">
        <v>88.7</v>
      </c>
      <c r="J205" s="2">
        <v>0.78</v>
      </c>
      <c r="K205" s="2">
        <v>0</v>
      </c>
      <c r="L205" s="2">
        <v>4</v>
      </c>
      <c r="M205" s="2">
        <v>650795.49</v>
      </c>
      <c r="N205" s="2">
        <v>103035.89</v>
      </c>
    </row>
    <row r="206" spans="1:14">
      <c r="A206" s="2" t="s">
        <v>73</v>
      </c>
      <c r="B206" s="3">
        <v>45658</v>
      </c>
      <c r="C206" s="2" t="s">
        <v>15</v>
      </c>
      <c r="D206" s="2" t="s">
        <v>28</v>
      </c>
      <c r="E206" s="2">
        <v>92090.14</v>
      </c>
      <c r="F206" s="2">
        <v>9476</v>
      </c>
      <c r="G206" s="2">
        <v>7.0000000000000007E-2</v>
      </c>
      <c r="H206" s="2">
        <v>24</v>
      </c>
      <c r="I206" s="2">
        <v>94.3</v>
      </c>
      <c r="J206" s="2">
        <v>0.87</v>
      </c>
      <c r="K206" s="2">
        <v>0</v>
      </c>
      <c r="L206" s="2">
        <v>3.7</v>
      </c>
      <c r="M206" s="2">
        <v>825060.52</v>
      </c>
      <c r="N206" s="2">
        <v>143613.15</v>
      </c>
    </row>
    <row r="207" spans="1:14">
      <c r="A207" s="2" t="s">
        <v>73</v>
      </c>
      <c r="B207" s="3">
        <v>45689</v>
      </c>
      <c r="C207" s="2" t="s">
        <v>15</v>
      </c>
      <c r="D207" s="2" t="s">
        <v>28</v>
      </c>
      <c r="E207" s="2">
        <v>54300.87</v>
      </c>
      <c r="F207" s="2">
        <v>7875</v>
      </c>
      <c r="G207" s="2">
        <v>0.107</v>
      </c>
      <c r="H207" s="2">
        <v>19</v>
      </c>
      <c r="I207" s="2">
        <v>94.1</v>
      </c>
      <c r="J207" s="2">
        <v>0.95</v>
      </c>
      <c r="K207" s="2">
        <v>0</v>
      </c>
      <c r="L207" s="2">
        <v>3.7</v>
      </c>
      <c r="M207" s="2">
        <v>795464.47</v>
      </c>
      <c r="N207" s="2">
        <v>161150.51999999999</v>
      </c>
    </row>
    <row r="208" spans="1:14">
      <c r="A208" s="2" t="s">
        <v>73</v>
      </c>
      <c r="B208" s="3">
        <v>45717</v>
      </c>
      <c r="C208" s="2" t="s">
        <v>15</v>
      </c>
      <c r="D208" s="2" t="s">
        <v>28</v>
      </c>
      <c r="E208" s="2">
        <v>37983.35</v>
      </c>
      <c r="F208" s="2">
        <v>9283</v>
      </c>
      <c r="G208" s="2">
        <v>0.14899999999999999</v>
      </c>
      <c r="H208" s="2">
        <v>19</v>
      </c>
      <c r="I208" s="2">
        <v>83.2</v>
      </c>
      <c r="J208" s="2">
        <v>3.82</v>
      </c>
      <c r="K208" s="2">
        <v>0</v>
      </c>
      <c r="L208" s="2">
        <v>3.7</v>
      </c>
      <c r="M208" s="2">
        <v>671868.59</v>
      </c>
      <c r="N208" s="2">
        <v>71003.28</v>
      </c>
    </row>
    <row r="209" spans="1:14">
      <c r="A209" s="2" t="s">
        <v>73</v>
      </c>
      <c r="B209" s="3">
        <v>45748</v>
      </c>
      <c r="C209" s="2" t="s">
        <v>15</v>
      </c>
      <c r="D209" s="2" t="s">
        <v>28</v>
      </c>
      <c r="E209" s="2">
        <v>56413.83</v>
      </c>
      <c r="F209" s="2">
        <v>8303</v>
      </c>
      <c r="G209" s="2">
        <v>0.11600000000000001</v>
      </c>
      <c r="H209" s="2">
        <v>18</v>
      </c>
      <c r="I209" s="2">
        <v>93.6</v>
      </c>
      <c r="J209" s="2">
        <v>2.7</v>
      </c>
      <c r="K209" s="2">
        <v>0</v>
      </c>
      <c r="L209" s="2">
        <v>3.7</v>
      </c>
      <c r="M209" s="2">
        <v>675917.63</v>
      </c>
      <c r="N209" s="2">
        <v>112564.75</v>
      </c>
    </row>
    <row r="210" spans="1:14">
      <c r="A210" s="2" t="s">
        <v>74</v>
      </c>
      <c r="B210" s="3">
        <v>45658</v>
      </c>
      <c r="C210" s="2" t="s">
        <v>15</v>
      </c>
      <c r="D210" s="2" t="s">
        <v>18</v>
      </c>
      <c r="E210" s="2">
        <v>63457.19</v>
      </c>
      <c r="F210" s="2">
        <v>10125</v>
      </c>
      <c r="G210" s="2">
        <v>9.7000000000000003E-2</v>
      </c>
      <c r="H210" s="2">
        <v>24</v>
      </c>
      <c r="I210" s="2">
        <v>87</v>
      </c>
      <c r="J210" s="2">
        <v>3.84</v>
      </c>
      <c r="K210" s="2">
        <v>1</v>
      </c>
      <c r="L210" s="2">
        <v>3.7</v>
      </c>
      <c r="M210" s="2">
        <v>810446.53</v>
      </c>
      <c r="N210" s="2">
        <v>200575.34</v>
      </c>
    </row>
    <row r="211" spans="1:14">
      <c r="A211" s="2" t="s">
        <v>74</v>
      </c>
      <c r="B211" s="3">
        <v>45689</v>
      </c>
      <c r="C211" s="2" t="s">
        <v>15</v>
      </c>
      <c r="D211" s="2" t="s">
        <v>18</v>
      </c>
      <c r="E211" s="2">
        <v>62949.7</v>
      </c>
      <c r="F211" s="2">
        <v>9458</v>
      </c>
      <c r="G211" s="2">
        <v>0.17100000000000001</v>
      </c>
      <c r="H211" s="2">
        <v>19</v>
      </c>
      <c r="I211" s="2">
        <v>84.9</v>
      </c>
      <c r="J211" s="2">
        <v>5.09</v>
      </c>
      <c r="K211" s="2">
        <v>0</v>
      </c>
      <c r="L211" s="2">
        <v>3.3</v>
      </c>
      <c r="M211" s="2">
        <v>691288.19</v>
      </c>
      <c r="N211" s="2">
        <v>159074.14000000001</v>
      </c>
    </row>
    <row r="212" spans="1:14">
      <c r="A212" s="2" t="s">
        <v>74</v>
      </c>
      <c r="B212" s="3">
        <v>45717</v>
      </c>
      <c r="C212" s="2" t="s">
        <v>15</v>
      </c>
      <c r="D212" s="2" t="s">
        <v>18</v>
      </c>
      <c r="E212" s="2">
        <v>107970.19</v>
      </c>
      <c r="F212" s="2">
        <v>12870</v>
      </c>
      <c r="G212" s="2">
        <v>2.9000000000000001E-2</v>
      </c>
      <c r="H212" s="2">
        <v>31</v>
      </c>
      <c r="I212" s="2">
        <v>91.7</v>
      </c>
      <c r="J212" s="2">
        <v>3.82</v>
      </c>
      <c r="K212" s="2">
        <v>1</v>
      </c>
      <c r="L212" s="2">
        <v>3.7</v>
      </c>
      <c r="M212" s="2">
        <v>946833.54</v>
      </c>
      <c r="N212" s="2">
        <v>184540.31</v>
      </c>
    </row>
    <row r="213" spans="1:14">
      <c r="A213" s="2" t="s">
        <v>74</v>
      </c>
      <c r="B213" s="3">
        <v>45748</v>
      </c>
      <c r="C213" s="2" t="s">
        <v>15</v>
      </c>
      <c r="D213" s="2" t="s">
        <v>18</v>
      </c>
      <c r="E213" s="2">
        <v>49405.75</v>
      </c>
      <c r="F213" s="2">
        <v>9752</v>
      </c>
      <c r="G213" s="2">
        <v>9.2999999999999999E-2</v>
      </c>
      <c r="H213" s="2">
        <v>21</v>
      </c>
      <c r="I213" s="2">
        <v>87</v>
      </c>
      <c r="J213" s="2">
        <v>12.28</v>
      </c>
      <c r="K213" s="2">
        <v>0</v>
      </c>
      <c r="L213" s="2">
        <v>4.0999999999999996</v>
      </c>
      <c r="M213" s="2">
        <v>761963.23</v>
      </c>
      <c r="N213" s="2">
        <v>150113.60999999999</v>
      </c>
    </row>
    <row r="214" spans="1:14">
      <c r="A214" s="2" t="s">
        <v>75</v>
      </c>
      <c r="B214" s="3">
        <v>45658</v>
      </c>
      <c r="C214" s="2" t="s">
        <v>27</v>
      </c>
      <c r="D214" s="2" t="s">
        <v>16</v>
      </c>
      <c r="E214" s="2">
        <v>50887.46</v>
      </c>
      <c r="F214" s="2">
        <v>9505</v>
      </c>
      <c r="G214" s="2">
        <v>9.0999999999999998E-2</v>
      </c>
      <c r="H214" s="2">
        <v>25</v>
      </c>
      <c r="I214" s="2">
        <v>89.7</v>
      </c>
      <c r="J214" s="2">
        <v>2.8</v>
      </c>
      <c r="K214" s="2">
        <v>0</v>
      </c>
      <c r="L214" s="2">
        <v>4.3</v>
      </c>
      <c r="M214" s="2">
        <v>812152.6</v>
      </c>
      <c r="N214" s="2">
        <v>138419.43</v>
      </c>
    </row>
    <row r="215" spans="1:14">
      <c r="A215" s="2" t="s">
        <v>75</v>
      </c>
      <c r="B215" s="3">
        <v>45689</v>
      </c>
      <c r="C215" s="2" t="s">
        <v>27</v>
      </c>
      <c r="D215" s="2" t="s">
        <v>16</v>
      </c>
      <c r="E215" s="2">
        <v>41819.449999999997</v>
      </c>
      <c r="F215" s="2">
        <v>9412</v>
      </c>
      <c r="G215" s="2">
        <v>0.15</v>
      </c>
      <c r="H215" s="2">
        <v>22</v>
      </c>
      <c r="I215" s="2">
        <v>91</v>
      </c>
      <c r="J215" s="2">
        <v>3.67</v>
      </c>
      <c r="K215" s="2">
        <v>0</v>
      </c>
      <c r="L215" s="2">
        <v>4.2</v>
      </c>
      <c r="M215" s="2">
        <v>804975.5</v>
      </c>
      <c r="N215" s="2">
        <v>140054.5</v>
      </c>
    </row>
    <row r="216" spans="1:14">
      <c r="A216" s="2" t="s">
        <v>75</v>
      </c>
      <c r="B216" s="3">
        <v>45717</v>
      </c>
      <c r="C216" s="2" t="s">
        <v>27</v>
      </c>
      <c r="D216" s="2" t="s">
        <v>16</v>
      </c>
      <c r="E216" s="2">
        <v>35296.54</v>
      </c>
      <c r="F216" s="2">
        <v>9644</v>
      </c>
      <c r="G216" s="2">
        <v>0</v>
      </c>
      <c r="H216" s="2">
        <v>22</v>
      </c>
      <c r="I216" s="2">
        <v>88</v>
      </c>
      <c r="J216" s="2">
        <v>2.81</v>
      </c>
      <c r="K216" s="2">
        <v>0</v>
      </c>
      <c r="L216" s="2">
        <v>4.7</v>
      </c>
      <c r="M216" s="2">
        <v>752321.72</v>
      </c>
      <c r="N216" s="2">
        <v>137788.51</v>
      </c>
    </row>
    <row r="217" spans="1:14">
      <c r="A217" s="2" t="s">
        <v>75</v>
      </c>
      <c r="B217" s="3">
        <v>45748</v>
      </c>
      <c r="C217" s="2" t="s">
        <v>27</v>
      </c>
      <c r="D217" s="2" t="s">
        <v>16</v>
      </c>
      <c r="E217" s="2">
        <v>47391.09</v>
      </c>
      <c r="F217" s="2">
        <v>11224</v>
      </c>
      <c r="G217" s="2">
        <v>0.14699999999999999</v>
      </c>
      <c r="H217" s="2">
        <v>25</v>
      </c>
      <c r="I217" s="2">
        <v>88.4</v>
      </c>
      <c r="J217" s="2">
        <v>2.44</v>
      </c>
      <c r="K217" s="2">
        <v>0</v>
      </c>
      <c r="L217" s="2">
        <v>4.9000000000000004</v>
      </c>
      <c r="M217" s="2">
        <v>836908.24</v>
      </c>
      <c r="N217" s="2">
        <v>141090.26</v>
      </c>
    </row>
    <row r="218" spans="1:14">
      <c r="A218" s="2" t="s">
        <v>76</v>
      </c>
      <c r="B218" s="3">
        <v>45658</v>
      </c>
      <c r="C218" s="2" t="s">
        <v>20</v>
      </c>
      <c r="D218" s="2" t="s">
        <v>21</v>
      </c>
      <c r="E218" s="2">
        <v>69180.539999999994</v>
      </c>
      <c r="F218" s="2">
        <v>5394</v>
      </c>
      <c r="G218" s="2">
        <v>0.126</v>
      </c>
      <c r="H218" s="2">
        <v>12</v>
      </c>
      <c r="I218" s="2">
        <v>82.9</v>
      </c>
      <c r="J218" s="2">
        <v>3.27</v>
      </c>
      <c r="K218" s="2">
        <v>0</v>
      </c>
      <c r="L218" s="2">
        <v>3.3</v>
      </c>
      <c r="M218" s="2">
        <v>674289.1</v>
      </c>
      <c r="N218" s="2">
        <v>117773.79</v>
      </c>
    </row>
    <row r="219" spans="1:14">
      <c r="A219" s="2" t="s">
        <v>76</v>
      </c>
      <c r="B219" s="3">
        <v>45689</v>
      </c>
      <c r="C219" s="2" t="s">
        <v>20</v>
      </c>
      <c r="D219" s="2" t="s">
        <v>21</v>
      </c>
      <c r="E219" s="2">
        <v>33987.33</v>
      </c>
      <c r="F219" s="2">
        <v>5014</v>
      </c>
      <c r="G219" s="2">
        <v>0.246</v>
      </c>
      <c r="H219" s="2">
        <v>17</v>
      </c>
      <c r="I219" s="2">
        <v>94.3</v>
      </c>
      <c r="J219" s="2">
        <v>10.34</v>
      </c>
      <c r="K219" s="2">
        <v>0</v>
      </c>
      <c r="L219" s="2">
        <v>3.9</v>
      </c>
      <c r="M219" s="2">
        <v>622892.42000000004</v>
      </c>
      <c r="N219" s="2">
        <v>101032.52</v>
      </c>
    </row>
    <row r="220" spans="1:14">
      <c r="A220" s="2" t="s">
        <v>76</v>
      </c>
      <c r="B220" s="3">
        <v>45717</v>
      </c>
      <c r="C220" s="2" t="s">
        <v>20</v>
      </c>
      <c r="D220" s="2" t="s">
        <v>21</v>
      </c>
      <c r="E220" s="2">
        <v>58785.33</v>
      </c>
      <c r="F220" s="2">
        <v>4467</v>
      </c>
      <c r="G220" s="2">
        <v>0.22900000000000001</v>
      </c>
      <c r="H220" s="2">
        <v>14</v>
      </c>
      <c r="I220" s="2">
        <v>90.7</v>
      </c>
      <c r="J220" s="2">
        <v>1.92</v>
      </c>
      <c r="K220" s="2">
        <v>0</v>
      </c>
      <c r="L220" s="2">
        <v>3.7</v>
      </c>
      <c r="M220" s="2">
        <v>673348.56</v>
      </c>
      <c r="N220" s="2">
        <v>69464.59</v>
      </c>
    </row>
    <row r="221" spans="1:14">
      <c r="A221" s="2" t="s">
        <v>76</v>
      </c>
      <c r="B221" s="3">
        <v>45748</v>
      </c>
      <c r="C221" s="2" t="s">
        <v>20</v>
      </c>
      <c r="D221" s="2" t="s">
        <v>21</v>
      </c>
      <c r="E221" s="2">
        <v>16451.849999999999</v>
      </c>
      <c r="F221" s="2">
        <v>4678</v>
      </c>
      <c r="G221" s="2">
        <v>0.13300000000000001</v>
      </c>
      <c r="H221" s="2">
        <v>11</v>
      </c>
      <c r="I221" s="2">
        <v>95.9</v>
      </c>
      <c r="J221" s="2">
        <v>3.1</v>
      </c>
      <c r="K221" s="2">
        <v>0</v>
      </c>
      <c r="L221" s="2">
        <v>3.9</v>
      </c>
      <c r="M221" s="2">
        <v>606278.30000000005</v>
      </c>
      <c r="N221" s="2">
        <v>102213.26</v>
      </c>
    </row>
    <row r="222" spans="1:14">
      <c r="A222" s="2" t="s">
        <v>77</v>
      </c>
      <c r="B222" s="3">
        <v>45658</v>
      </c>
      <c r="C222" s="2" t="s">
        <v>15</v>
      </c>
      <c r="D222" s="2" t="s">
        <v>18</v>
      </c>
      <c r="E222" s="2">
        <v>53367.73</v>
      </c>
      <c r="F222" s="2">
        <v>7291</v>
      </c>
      <c r="G222" s="2">
        <v>0.14599999999999999</v>
      </c>
      <c r="H222" s="2">
        <v>18</v>
      </c>
      <c r="I222" s="2">
        <v>90.6</v>
      </c>
      <c r="J222" s="2">
        <v>6.34</v>
      </c>
      <c r="K222" s="2">
        <v>1</v>
      </c>
      <c r="L222" s="2">
        <v>3.8</v>
      </c>
      <c r="M222" s="2">
        <v>712219.81</v>
      </c>
      <c r="N222" s="2">
        <v>85906.54</v>
      </c>
    </row>
    <row r="223" spans="1:14">
      <c r="A223" s="2" t="s">
        <v>77</v>
      </c>
      <c r="B223" s="3">
        <v>45689</v>
      </c>
      <c r="C223" s="2" t="s">
        <v>15</v>
      </c>
      <c r="D223" s="2" t="s">
        <v>18</v>
      </c>
      <c r="E223" s="2">
        <v>27194.639999999999</v>
      </c>
      <c r="F223" s="2">
        <v>7404</v>
      </c>
      <c r="G223" s="2">
        <v>8.7999999999999995E-2</v>
      </c>
      <c r="H223" s="2">
        <v>18</v>
      </c>
      <c r="I223" s="2">
        <v>90.2</v>
      </c>
      <c r="J223" s="2">
        <v>1.2</v>
      </c>
      <c r="K223" s="2">
        <v>0</v>
      </c>
      <c r="L223" s="2">
        <v>3.4</v>
      </c>
      <c r="M223" s="2">
        <v>672670.54</v>
      </c>
      <c r="N223" s="2">
        <v>132684.18</v>
      </c>
    </row>
    <row r="224" spans="1:14">
      <c r="A224" s="2" t="s">
        <v>77</v>
      </c>
      <c r="B224" s="3">
        <v>45717</v>
      </c>
      <c r="C224" s="2" t="s">
        <v>15</v>
      </c>
      <c r="D224" s="2" t="s">
        <v>18</v>
      </c>
      <c r="E224" s="2">
        <v>66962.740000000005</v>
      </c>
      <c r="F224" s="2">
        <v>7880</v>
      </c>
      <c r="G224" s="2">
        <v>0.11600000000000001</v>
      </c>
      <c r="H224" s="2">
        <v>19</v>
      </c>
      <c r="I224" s="2">
        <v>90.4</v>
      </c>
      <c r="J224" s="2">
        <v>4.5</v>
      </c>
      <c r="K224" s="2">
        <v>0</v>
      </c>
      <c r="L224" s="2">
        <v>3.3</v>
      </c>
      <c r="M224" s="2">
        <v>732667.92</v>
      </c>
      <c r="N224" s="2">
        <v>128654.46</v>
      </c>
    </row>
    <row r="225" spans="1:14">
      <c r="A225" s="2" t="s">
        <v>77</v>
      </c>
      <c r="B225" s="3">
        <v>45748</v>
      </c>
      <c r="C225" s="2" t="s">
        <v>15</v>
      </c>
      <c r="D225" s="2" t="s">
        <v>18</v>
      </c>
      <c r="E225" s="2">
        <v>73540.990000000005</v>
      </c>
      <c r="F225" s="2">
        <v>8773</v>
      </c>
      <c r="G225" s="2">
        <v>3.5000000000000003E-2</v>
      </c>
      <c r="H225" s="2">
        <v>21</v>
      </c>
      <c r="I225" s="2">
        <v>84.4</v>
      </c>
      <c r="J225" s="2">
        <v>6.68</v>
      </c>
      <c r="K225" s="2">
        <v>0</v>
      </c>
      <c r="L225" s="2">
        <v>3.6</v>
      </c>
      <c r="M225" s="2">
        <v>723531.4</v>
      </c>
      <c r="N225" s="2">
        <v>108794.85</v>
      </c>
    </row>
    <row r="226" spans="1:14">
      <c r="A226" s="2" t="s">
        <v>78</v>
      </c>
      <c r="B226" s="3">
        <v>45658</v>
      </c>
      <c r="C226" s="2" t="s">
        <v>15</v>
      </c>
      <c r="D226" s="2" t="s">
        <v>28</v>
      </c>
      <c r="E226" s="2">
        <v>68212.289999999994</v>
      </c>
      <c r="F226" s="2">
        <v>4713</v>
      </c>
      <c r="G226" s="2">
        <v>0.19800000000000001</v>
      </c>
      <c r="H226" s="2">
        <v>15</v>
      </c>
      <c r="I226" s="2">
        <v>82.6</v>
      </c>
      <c r="J226" s="2">
        <v>4.07</v>
      </c>
      <c r="K226" s="2">
        <v>1</v>
      </c>
      <c r="L226" s="2">
        <v>3</v>
      </c>
      <c r="M226" s="2">
        <v>641564.6</v>
      </c>
      <c r="N226" s="2">
        <v>90468.96</v>
      </c>
    </row>
    <row r="227" spans="1:14">
      <c r="A227" s="2" t="s">
        <v>78</v>
      </c>
      <c r="B227" s="3">
        <v>45689</v>
      </c>
      <c r="C227" s="2" t="s">
        <v>15</v>
      </c>
      <c r="D227" s="2" t="s">
        <v>28</v>
      </c>
      <c r="E227" s="2">
        <v>57225.98</v>
      </c>
      <c r="F227" s="2">
        <v>2842</v>
      </c>
      <c r="G227" s="2">
        <v>0.112</v>
      </c>
      <c r="H227" s="2">
        <v>10</v>
      </c>
      <c r="I227" s="2">
        <v>79.5</v>
      </c>
      <c r="J227" s="2">
        <v>5.45</v>
      </c>
      <c r="K227" s="2">
        <v>0</v>
      </c>
      <c r="L227" s="2">
        <v>3.4</v>
      </c>
      <c r="M227" s="2">
        <v>536545.49</v>
      </c>
      <c r="N227" s="2">
        <v>97917.45</v>
      </c>
    </row>
    <row r="228" spans="1:14">
      <c r="A228" s="2" t="s">
        <v>78</v>
      </c>
      <c r="B228" s="3">
        <v>45717</v>
      </c>
      <c r="C228" s="2" t="s">
        <v>15</v>
      </c>
      <c r="D228" s="2" t="s">
        <v>28</v>
      </c>
      <c r="E228" s="2">
        <v>42932.02</v>
      </c>
      <c r="F228" s="2">
        <v>3872</v>
      </c>
      <c r="G228" s="2">
        <v>0.17100000000000001</v>
      </c>
      <c r="H228" s="2">
        <v>12</v>
      </c>
      <c r="I228" s="2">
        <v>83.2</v>
      </c>
      <c r="J228" s="2">
        <v>15.58</v>
      </c>
      <c r="K228" s="2">
        <v>0</v>
      </c>
      <c r="L228" s="2">
        <v>3.3</v>
      </c>
      <c r="M228" s="2">
        <v>527681.56000000006</v>
      </c>
      <c r="N228" s="2">
        <v>63153.05</v>
      </c>
    </row>
    <row r="229" spans="1:14">
      <c r="A229" s="2" t="s">
        <v>78</v>
      </c>
      <c r="B229" s="3">
        <v>45748</v>
      </c>
      <c r="C229" s="2" t="s">
        <v>15</v>
      </c>
      <c r="D229" s="2" t="s">
        <v>28</v>
      </c>
      <c r="E229" s="2">
        <v>39341.449999999997</v>
      </c>
      <c r="F229" s="2">
        <v>1375</v>
      </c>
      <c r="G229" s="2">
        <v>9.2999999999999999E-2</v>
      </c>
      <c r="H229" s="2">
        <v>5</v>
      </c>
      <c r="I229" s="2">
        <v>95</v>
      </c>
      <c r="J229" s="2">
        <v>5.32</v>
      </c>
      <c r="K229" s="2">
        <v>0</v>
      </c>
      <c r="L229" s="4">
        <v>3.9</v>
      </c>
      <c r="M229" s="2">
        <v>529598.93999999994</v>
      </c>
      <c r="N229" s="2">
        <v>84334.33</v>
      </c>
    </row>
    <row r="230" spans="1:14">
      <c r="A230" s="2" t="s">
        <v>79</v>
      </c>
      <c r="B230" s="3">
        <v>45658</v>
      </c>
      <c r="C230" s="2" t="s">
        <v>15</v>
      </c>
      <c r="D230" s="2" t="s">
        <v>18</v>
      </c>
      <c r="E230" s="2">
        <v>37324.230000000003</v>
      </c>
      <c r="F230" s="2">
        <v>5957</v>
      </c>
      <c r="G230" s="2">
        <v>7.0999999999999994E-2</v>
      </c>
      <c r="H230" s="2">
        <v>12</v>
      </c>
      <c r="I230" s="2">
        <v>85.9</v>
      </c>
      <c r="J230" s="2">
        <v>0.37</v>
      </c>
      <c r="K230" s="2">
        <v>0</v>
      </c>
      <c r="L230" s="2">
        <v>3.8</v>
      </c>
      <c r="M230" s="2">
        <v>570963.31000000006</v>
      </c>
      <c r="N230" s="2">
        <v>87342.25</v>
      </c>
    </row>
    <row r="231" spans="1:14">
      <c r="A231" s="2" t="s">
        <v>79</v>
      </c>
      <c r="B231" s="3">
        <v>45689</v>
      </c>
      <c r="C231" s="2" t="s">
        <v>15</v>
      </c>
      <c r="D231" s="2" t="s">
        <v>18</v>
      </c>
      <c r="E231" s="2">
        <v>113736</v>
      </c>
      <c r="F231" s="2">
        <v>8961</v>
      </c>
      <c r="G231" s="2">
        <v>0.20200000000000001</v>
      </c>
      <c r="H231" s="2">
        <v>24</v>
      </c>
      <c r="I231" s="2">
        <v>86.2</v>
      </c>
      <c r="J231" s="2">
        <v>21.63</v>
      </c>
      <c r="K231" s="2">
        <v>0</v>
      </c>
      <c r="L231" s="2">
        <v>4</v>
      </c>
      <c r="M231" s="2">
        <v>870937.4</v>
      </c>
      <c r="N231" s="2">
        <v>175282.74</v>
      </c>
    </row>
    <row r="232" spans="1:14">
      <c r="A232" s="2" t="s">
        <v>79</v>
      </c>
      <c r="B232" s="3">
        <v>45717</v>
      </c>
      <c r="C232" s="2" t="s">
        <v>15</v>
      </c>
      <c r="D232" s="2" t="s">
        <v>18</v>
      </c>
      <c r="E232" s="2">
        <v>33173.949999999997</v>
      </c>
      <c r="F232" s="2">
        <v>6545</v>
      </c>
      <c r="G232" s="2">
        <v>0.16900000000000001</v>
      </c>
      <c r="H232" s="2">
        <v>15</v>
      </c>
      <c r="I232" s="2">
        <v>84.4</v>
      </c>
      <c r="J232" s="2">
        <v>2.48</v>
      </c>
      <c r="K232" s="2">
        <v>0</v>
      </c>
      <c r="L232" s="2">
        <v>3.9</v>
      </c>
      <c r="M232" s="2">
        <v>596969.27</v>
      </c>
      <c r="N232" s="2">
        <v>105669.51</v>
      </c>
    </row>
    <row r="233" spans="1:14">
      <c r="A233" s="2" t="s">
        <v>79</v>
      </c>
      <c r="B233" s="3">
        <v>45748</v>
      </c>
      <c r="C233" s="2" t="s">
        <v>15</v>
      </c>
      <c r="D233" s="2" t="s">
        <v>18</v>
      </c>
      <c r="E233" s="2">
        <v>25818.080000000002</v>
      </c>
      <c r="F233" s="2">
        <v>5457</v>
      </c>
      <c r="G233" s="2">
        <v>0</v>
      </c>
      <c r="H233" s="2">
        <v>11</v>
      </c>
      <c r="I233" s="2">
        <v>95.4</v>
      </c>
      <c r="J233" s="2">
        <v>3.3650000000000002</v>
      </c>
      <c r="K233" s="2">
        <v>0</v>
      </c>
      <c r="L233" s="2">
        <v>3.7</v>
      </c>
      <c r="M233" s="2">
        <v>647512.85</v>
      </c>
      <c r="N233" s="2">
        <v>153835.57</v>
      </c>
    </row>
    <row r="234" spans="1:14">
      <c r="A234" s="2" t="s">
        <v>80</v>
      </c>
      <c r="B234" s="3">
        <v>45658</v>
      </c>
      <c r="C234" s="2" t="s">
        <v>27</v>
      </c>
      <c r="D234" s="2" t="s">
        <v>16</v>
      </c>
      <c r="E234" s="2">
        <v>47241.919999999998</v>
      </c>
      <c r="F234" s="2">
        <v>4264</v>
      </c>
      <c r="G234" s="2">
        <v>6.9000000000000006E-2</v>
      </c>
      <c r="H234" s="2">
        <v>13</v>
      </c>
      <c r="I234" s="2">
        <v>95.3</v>
      </c>
      <c r="J234" s="2">
        <v>0.85</v>
      </c>
      <c r="K234" s="2">
        <v>0</v>
      </c>
      <c r="L234" s="2">
        <v>4.3</v>
      </c>
      <c r="M234" s="2">
        <v>658072.14</v>
      </c>
      <c r="N234" s="2">
        <v>110595.89</v>
      </c>
    </row>
    <row r="235" spans="1:14">
      <c r="A235" s="2" t="s">
        <v>80</v>
      </c>
      <c r="B235" s="3">
        <v>45689</v>
      </c>
      <c r="C235" s="2" t="s">
        <v>27</v>
      </c>
      <c r="D235" s="2" t="s">
        <v>16</v>
      </c>
      <c r="E235" s="2">
        <v>61650.79</v>
      </c>
      <c r="F235" s="2">
        <v>5321</v>
      </c>
      <c r="G235" s="2">
        <v>0.126</v>
      </c>
      <c r="H235" s="2">
        <v>17</v>
      </c>
      <c r="I235" s="2">
        <v>89.2</v>
      </c>
      <c r="J235" s="2">
        <v>2.13</v>
      </c>
      <c r="K235" s="2">
        <v>0</v>
      </c>
      <c r="L235" s="2">
        <v>4</v>
      </c>
      <c r="M235" s="2">
        <v>723305.11</v>
      </c>
      <c r="N235" s="2">
        <v>128468.7</v>
      </c>
    </row>
    <row r="236" spans="1:14">
      <c r="A236" s="2" t="s">
        <v>80</v>
      </c>
      <c r="B236" s="3">
        <v>45717</v>
      </c>
      <c r="C236" s="2" t="s">
        <v>27</v>
      </c>
      <c r="D236" s="2" t="s">
        <v>16</v>
      </c>
      <c r="E236" s="2">
        <v>62582.71</v>
      </c>
      <c r="F236" s="2">
        <v>5479</v>
      </c>
      <c r="G236" s="2">
        <v>4.8000000000000001E-2</v>
      </c>
      <c r="H236" s="2">
        <v>16</v>
      </c>
      <c r="I236" s="2">
        <v>81.2</v>
      </c>
      <c r="J236" s="2">
        <v>1.46</v>
      </c>
      <c r="K236" s="2">
        <v>0</v>
      </c>
      <c r="L236" s="2">
        <v>4.5</v>
      </c>
      <c r="M236" s="2">
        <v>640666.53</v>
      </c>
      <c r="N236" s="2">
        <v>134919.16</v>
      </c>
    </row>
    <row r="237" spans="1:14">
      <c r="A237" s="2" t="s">
        <v>80</v>
      </c>
      <c r="B237" s="3">
        <v>45748</v>
      </c>
      <c r="C237" s="2" t="s">
        <v>27</v>
      </c>
      <c r="D237" s="2" t="s">
        <v>16</v>
      </c>
      <c r="E237" s="2">
        <v>47944.14</v>
      </c>
      <c r="F237" s="2">
        <v>6169</v>
      </c>
      <c r="G237" s="2">
        <v>0.11899999999999999</v>
      </c>
      <c r="H237" s="2">
        <v>17</v>
      </c>
      <c r="I237" s="2">
        <v>92.2</v>
      </c>
      <c r="J237" s="2">
        <v>3.02</v>
      </c>
      <c r="K237" s="2">
        <v>0</v>
      </c>
      <c r="L237" s="2">
        <v>4.0999999999999996</v>
      </c>
      <c r="M237" s="2">
        <v>670629.48</v>
      </c>
      <c r="N237" s="2">
        <v>100140.8</v>
      </c>
    </row>
    <row r="238" spans="1:14">
      <c r="A238" s="2" t="s">
        <v>81</v>
      </c>
      <c r="B238" s="3">
        <v>45658</v>
      </c>
      <c r="C238" s="2" t="s">
        <v>27</v>
      </c>
      <c r="D238" s="2" t="s">
        <v>28</v>
      </c>
      <c r="E238" s="2">
        <v>46495.4</v>
      </c>
      <c r="F238" s="2">
        <v>9908</v>
      </c>
      <c r="G238" s="2">
        <v>0.121</v>
      </c>
      <c r="H238" s="2">
        <v>22</v>
      </c>
      <c r="I238" s="2">
        <v>89.4</v>
      </c>
      <c r="J238" s="2">
        <v>3.22</v>
      </c>
      <c r="K238" s="2">
        <v>0</v>
      </c>
      <c r="L238" s="2">
        <v>3.7</v>
      </c>
      <c r="M238" s="2">
        <v>721079.35</v>
      </c>
      <c r="N238" s="2">
        <v>115295.05</v>
      </c>
    </row>
    <row r="239" spans="1:14">
      <c r="A239" s="2" t="s">
        <v>81</v>
      </c>
      <c r="B239" s="3">
        <v>45689</v>
      </c>
      <c r="C239" s="2" t="s">
        <v>27</v>
      </c>
      <c r="D239" s="2" t="s">
        <v>28</v>
      </c>
      <c r="E239" s="2">
        <v>72961.95</v>
      </c>
      <c r="F239" s="2">
        <v>9996</v>
      </c>
      <c r="G239" s="2">
        <v>0.106</v>
      </c>
      <c r="H239" s="2">
        <v>22</v>
      </c>
      <c r="I239" s="2">
        <v>89.1</v>
      </c>
      <c r="J239" s="2">
        <v>15.66</v>
      </c>
      <c r="K239" s="2">
        <v>0</v>
      </c>
      <c r="L239" s="2">
        <v>3.4</v>
      </c>
      <c r="M239" s="2">
        <v>810355.02</v>
      </c>
      <c r="N239" s="2">
        <v>131510</v>
      </c>
    </row>
    <row r="240" spans="1:14">
      <c r="A240" s="2" t="s">
        <v>81</v>
      </c>
      <c r="B240" s="3">
        <v>45717</v>
      </c>
      <c r="C240" s="2" t="s">
        <v>27</v>
      </c>
      <c r="D240" s="2" t="s">
        <v>28</v>
      </c>
      <c r="E240" s="2">
        <v>59060.05</v>
      </c>
      <c r="F240" s="2">
        <v>9702</v>
      </c>
      <c r="G240" s="2">
        <v>0.20100000000000001</v>
      </c>
      <c r="H240" s="2">
        <v>23</v>
      </c>
      <c r="I240" s="2">
        <v>80.900000000000006</v>
      </c>
      <c r="J240" s="2">
        <v>6.96</v>
      </c>
      <c r="K240" s="2">
        <v>0</v>
      </c>
      <c r="L240" s="2">
        <v>3.2</v>
      </c>
      <c r="M240" s="2">
        <v>761919.25</v>
      </c>
      <c r="N240" s="2">
        <v>111893.06</v>
      </c>
    </row>
    <row r="241" spans="1:14">
      <c r="A241" s="2" t="s">
        <v>81</v>
      </c>
      <c r="B241" s="3">
        <v>45748</v>
      </c>
      <c r="C241" s="2" t="s">
        <v>27</v>
      </c>
      <c r="D241" s="2" t="s">
        <v>28</v>
      </c>
      <c r="E241" s="2">
        <v>26248.1</v>
      </c>
      <c r="F241" s="2">
        <v>9314</v>
      </c>
      <c r="G241" s="2">
        <v>0.186</v>
      </c>
      <c r="H241" s="2">
        <v>21</v>
      </c>
      <c r="I241" s="2">
        <v>83.7</v>
      </c>
      <c r="J241" s="2">
        <v>4.62</v>
      </c>
      <c r="K241" s="2">
        <v>0</v>
      </c>
      <c r="L241" s="2">
        <v>3.3</v>
      </c>
      <c r="M241" s="2">
        <v>737070.18</v>
      </c>
      <c r="N241" s="2">
        <v>117593.97</v>
      </c>
    </row>
    <row r="242" spans="1:14">
      <c r="A242" s="2" t="s">
        <v>82</v>
      </c>
      <c r="B242" s="3">
        <v>45658</v>
      </c>
      <c r="C242" s="2" t="s">
        <v>24</v>
      </c>
      <c r="D242" s="2" t="s">
        <v>21</v>
      </c>
      <c r="E242" s="2">
        <v>69900.12</v>
      </c>
      <c r="F242" s="2">
        <v>8055</v>
      </c>
      <c r="G242" s="2">
        <v>0.28100000000000003</v>
      </c>
      <c r="H242" s="2">
        <v>22</v>
      </c>
      <c r="I242" s="2">
        <v>85.6</v>
      </c>
      <c r="J242" s="2">
        <v>10.68</v>
      </c>
      <c r="K242" s="2">
        <v>1</v>
      </c>
      <c r="L242" s="2">
        <v>2.9</v>
      </c>
      <c r="M242" s="2">
        <v>776992.93</v>
      </c>
      <c r="N242" s="2">
        <v>101598.32</v>
      </c>
    </row>
    <row r="243" spans="1:14">
      <c r="A243" s="2" t="s">
        <v>82</v>
      </c>
      <c r="B243" s="3">
        <v>45689</v>
      </c>
      <c r="C243" s="2" t="s">
        <v>24</v>
      </c>
      <c r="D243" s="2" t="s">
        <v>21</v>
      </c>
      <c r="E243" s="2">
        <v>51781.599999999999</v>
      </c>
      <c r="F243" s="2">
        <v>5648</v>
      </c>
      <c r="G243" s="2">
        <v>5.8999999999999997E-2</v>
      </c>
      <c r="H243" s="2">
        <v>13</v>
      </c>
      <c r="I243" s="2">
        <v>85.5</v>
      </c>
      <c r="J243" s="2">
        <v>4.04</v>
      </c>
      <c r="K243" s="2">
        <v>0</v>
      </c>
      <c r="L243" s="2">
        <v>3.7</v>
      </c>
      <c r="M243" s="2">
        <v>676337.41</v>
      </c>
      <c r="N243" s="2">
        <v>104355.77</v>
      </c>
    </row>
    <row r="244" spans="1:14">
      <c r="A244" s="2" t="s">
        <v>82</v>
      </c>
      <c r="B244" s="3">
        <v>45717</v>
      </c>
      <c r="C244" s="2" t="s">
        <v>24</v>
      </c>
      <c r="D244" s="2" t="s">
        <v>21</v>
      </c>
      <c r="E244" s="2">
        <v>70799.64</v>
      </c>
      <c r="F244" s="2">
        <v>10076</v>
      </c>
      <c r="G244" s="2">
        <v>0.152</v>
      </c>
      <c r="H244" s="2">
        <v>24</v>
      </c>
      <c r="I244" s="2">
        <v>84.8</v>
      </c>
      <c r="J244" s="2">
        <v>1.87</v>
      </c>
      <c r="K244" s="2">
        <v>0</v>
      </c>
      <c r="L244" s="2">
        <v>3.5</v>
      </c>
      <c r="M244" s="2">
        <v>828219.67</v>
      </c>
      <c r="N244" s="2">
        <v>179806.87</v>
      </c>
    </row>
    <row r="245" spans="1:14">
      <c r="A245" s="2" t="s">
        <v>82</v>
      </c>
      <c r="B245" s="3">
        <v>45748</v>
      </c>
      <c r="C245" s="2" t="s">
        <v>24</v>
      </c>
      <c r="D245" s="2" t="s">
        <v>21</v>
      </c>
      <c r="E245" s="2">
        <v>53546.34</v>
      </c>
      <c r="F245" s="2">
        <v>8004</v>
      </c>
      <c r="G245" s="2">
        <v>0</v>
      </c>
      <c r="H245" s="2">
        <v>21</v>
      </c>
      <c r="I245" s="2">
        <v>95.2</v>
      </c>
      <c r="J245" s="2">
        <v>2.83</v>
      </c>
      <c r="K245" s="2">
        <v>0</v>
      </c>
      <c r="L245" s="2">
        <v>3</v>
      </c>
      <c r="M245" s="2">
        <v>763159.92</v>
      </c>
      <c r="N245" s="2">
        <v>177104.87</v>
      </c>
    </row>
    <row r="246" spans="1:14">
      <c r="A246" s="2" t="s">
        <v>83</v>
      </c>
      <c r="B246" s="3">
        <v>45658</v>
      </c>
      <c r="C246" s="2" t="s">
        <v>15</v>
      </c>
      <c r="D246" s="2" t="s">
        <v>18</v>
      </c>
      <c r="E246" s="2">
        <v>76942.2</v>
      </c>
      <c r="F246" s="2">
        <v>8934</v>
      </c>
      <c r="G246" s="2">
        <v>8.4000000000000005E-2</v>
      </c>
      <c r="H246" s="2">
        <v>20</v>
      </c>
      <c r="I246" s="2">
        <v>91</v>
      </c>
      <c r="J246" s="2">
        <v>0.95</v>
      </c>
      <c r="K246" s="2">
        <v>0</v>
      </c>
      <c r="L246" s="2">
        <v>3.2</v>
      </c>
      <c r="M246" s="2">
        <v>802001.68</v>
      </c>
      <c r="N246" s="2">
        <v>159715.82</v>
      </c>
    </row>
    <row r="247" spans="1:14">
      <c r="A247" s="2" t="s">
        <v>83</v>
      </c>
      <c r="B247" s="3">
        <v>45689</v>
      </c>
      <c r="C247" s="2" t="s">
        <v>15</v>
      </c>
      <c r="D247" s="2" t="s">
        <v>18</v>
      </c>
      <c r="E247" s="2">
        <v>48060.78</v>
      </c>
      <c r="F247" s="2">
        <v>8733</v>
      </c>
      <c r="G247" s="2">
        <v>0</v>
      </c>
      <c r="H247" s="2">
        <v>20</v>
      </c>
      <c r="I247" s="2">
        <v>89.9</v>
      </c>
      <c r="J247" s="2">
        <v>0.8</v>
      </c>
      <c r="K247" s="2">
        <v>0</v>
      </c>
      <c r="L247" s="2">
        <v>3.4</v>
      </c>
      <c r="M247" s="2">
        <v>750471.34</v>
      </c>
      <c r="N247" s="2">
        <v>133788.04</v>
      </c>
    </row>
    <row r="248" spans="1:14">
      <c r="A248" s="2" t="s">
        <v>83</v>
      </c>
      <c r="B248" s="3">
        <v>45717</v>
      </c>
      <c r="C248" s="2" t="s">
        <v>15</v>
      </c>
      <c r="D248" s="2" t="s">
        <v>18</v>
      </c>
      <c r="E248" s="2">
        <v>57390.04</v>
      </c>
      <c r="F248" s="2">
        <v>7374</v>
      </c>
      <c r="G248" s="2">
        <v>0.21</v>
      </c>
      <c r="H248" s="2">
        <v>21</v>
      </c>
      <c r="I248" s="2">
        <v>91.8</v>
      </c>
      <c r="J248" s="2">
        <v>0.2</v>
      </c>
      <c r="K248" s="2">
        <v>0</v>
      </c>
      <c r="L248" s="2">
        <v>3.1</v>
      </c>
      <c r="M248" s="2">
        <v>679230.86</v>
      </c>
      <c r="N248" s="2">
        <v>106927.58</v>
      </c>
    </row>
    <row r="249" spans="1:14">
      <c r="A249" s="2" t="s">
        <v>83</v>
      </c>
      <c r="B249" s="3">
        <v>45748</v>
      </c>
      <c r="C249" s="2" t="s">
        <v>15</v>
      </c>
      <c r="D249" s="2" t="s">
        <v>18</v>
      </c>
      <c r="E249" s="2">
        <v>21536.18</v>
      </c>
      <c r="F249" s="2">
        <v>8119</v>
      </c>
      <c r="G249" s="2">
        <v>0.22700000000000001</v>
      </c>
      <c r="H249" s="2">
        <v>20</v>
      </c>
      <c r="I249" s="2">
        <v>90.4</v>
      </c>
      <c r="J249" s="2">
        <v>1.7</v>
      </c>
      <c r="K249" s="2">
        <v>0</v>
      </c>
      <c r="L249" s="2">
        <v>3.3</v>
      </c>
      <c r="M249" s="2">
        <v>679888.74</v>
      </c>
      <c r="N249" s="2">
        <v>83406.89</v>
      </c>
    </row>
    <row r="250" spans="1:14">
      <c r="A250" s="2" t="s">
        <v>84</v>
      </c>
      <c r="B250" s="3">
        <v>45658</v>
      </c>
      <c r="C250" s="2" t="s">
        <v>20</v>
      </c>
      <c r="D250" s="2" t="s">
        <v>18</v>
      </c>
      <c r="E250" s="2">
        <v>40923.67</v>
      </c>
      <c r="F250" s="2">
        <v>3875</v>
      </c>
      <c r="G250" s="2">
        <v>0.15</v>
      </c>
      <c r="H250" s="2">
        <v>10</v>
      </c>
      <c r="I250" s="2">
        <v>96.1</v>
      </c>
      <c r="J250" s="2">
        <v>3.3650000000000002</v>
      </c>
      <c r="K250" s="2">
        <v>0</v>
      </c>
      <c r="L250" s="2">
        <v>3.8</v>
      </c>
      <c r="M250" s="2">
        <v>606783.67000000004</v>
      </c>
      <c r="N250" s="2">
        <v>74515.87</v>
      </c>
    </row>
    <row r="251" spans="1:14">
      <c r="A251" s="2" t="s">
        <v>84</v>
      </c>
      <c r="B251" s="3">
        <v>45689</v>
      </c>
      <c r="C251" s="2" t="s">
        <v>20</v>
      </c>
      <c r="D251" s="2" t="s">
        <v>18</v>
      </c>
      <c r="E251" s="2">
        <v>72932.55</v>
      </c>
      <c r="F251" s="2">
        <v>5765</v>
      </c>
      <c r="G251" s="2">
        <v>2.5999999999999999E-2</v>
      </c>
      <c r="H251" s="2">
        <v>17</v>
      </c>
      <c r="I251" s="2">
        <v>81.8</v>
      </c>
      <c r="J251" s="2">
        <v>5.0999999999999996</v>
      </c>
      <c r="K251" s="2">
        <v>0</v>
      </c>
      <c r="L251" s="2">
        <v>3.6</v>
      </c>
      <c r="M251" s="2">
        <v>642751.42000000004</v>
      </c>
      <c r="N251" s="2">
        <v>131942.15</v>
      </c>
    </row>
    <row r="252" spans="1:14">
      <c r="A252" s="2" t="s">
        <v>84</v>
      </c>
      <c r="B252" s="3">
        <v>45717</v>
      </c>
      <c r="C252" s="2" t="s">
        <v>20</v>
      </c>
      <c r="D252" s="2" t="s">
        <v>18</v>
      </c>
      <c r="E252" s="2">
        <v>38361.93</v>
      </c>
      <c r="F252" s="2">
        <v>6322</v>
      </c>
      <c r="G252" s="2">
        <v>0.27300000000000002</v>
      </c>
      <c r="H252" s="2">
        <v>15</v>
      </c>
      <c r="I252" s="2">
        <v>88.4</v>
      </c>
      <c r="J252" s="2">
        <v>0.83</v>
      </c>
      <c r="K252" s="2">
        <v>0</v>
      </c>
      <c r="L252" s="2">
        <v>4</v>
      </c>
      <c r="M252" s="2">
        <v>647953.78</v>
      </c>
      <c r="N252" s="2">
        <v>118497.43</v>
      </c>
    </row>
    <row r="253" spans="1:14">
      <c r="A253" s="2" t="s">
        <v>84</v>
      </c>
      <c r="B253" s="3">
        <v>45748</v>
      </c>
      <c r="C253" s="2" t="s">
        <v>20</v>
      </c>
      <c r="D253" s="2" t="s">
        <v>18</v>
      </c>
      <c r="E253" s="2">
        <v>97480.94</v>
      </c>
      <c r="F253" s="2">
        <v>6840</v>
      </c>
      <c r="G253" s="2">
        <v>8.6999999999999994E-2</v>
      </c>
      <c r="H253" s="2">
        <v>14</v>
      </c>
      <c r="I253" s="2">
        <v>79.2</v>
      </c>
      <c r="J253" s="2">
        <v>1.1399999999999999</v>
      </c>
      <c r="K253" s="2">
        <v>0</v>
      </c>
      <c r="L253" s="2">
        <v>4</v>
      </c>
      <c r="M253" s="2">
        <v>729440.45</v>
      </c>
      <c r="N253" s="2">
        <v>87614.29</v>
      </c>
    </row>
    <row r="254" spans="1:14">
      <c r="A254" s="2" t="s">
        <v>85</v>
      </c>
      <c r="B254" s="3">
        <v>45658</v>
      </c>
      <c r="C254" s="2" t="s">
        <v>24</v>
      </c>
      <c r="D254" s="2" t="s">
        <v>21</v>
      </c>
      <c r="E254" s="2">
        <v>81801.8</v>
      </c>
      <c r="F254" s="2">
        <v>6782</v>
      </c>
      <c r="G254" s="2">
        <v>0.05</v>
      </c>
      <c r="H254" s="2">
        <v>16</v>
      </c>
      <c r="I254" s="2">
        <v>99</v>
      </c>
      <c r="J254" s="2">
        <v>9.5399999999999991</v>
      </c>
      <c r="K254" s="2">
        <v>0</v>
      </c>
      <c r="L254" s="2">
        <v>3.7</v>
      </c>
      <c r="M254" s="2">
        <v>764949</v>
      </c>
      <c r="N254" s="2">
        <v>148322.43</v>
      </c>
    </row>
    <row r="255" spans="1:14">
      <c r="A255" s="2" t="s">
        <v>85</v>
      </c>
      <c r="B255" s="3">
        <v>45689</v>
      </c>
      <c r="C255" s="2" t="s">
        <v>24</v>
      </c>
      <c r="D255" s="2" t="s">
        <v>21</v>
      </c>
      <c r="E255" s="2">
        <v>63582.11</v>
      </c>
      <c r="F255" s="2">
        <v>6856</v>
      </c>
      <c r="G255" s="2">
        <v>7.3999999999999996E-2</v>
      </c>
      <c r="H255" s="2">
        <v>17</v>
      </c>
      <c r="I255" s="2">
        <v>89.5</v>
      </c>
      <c r="J255" s="2">
        <v>5.48</v>
      </c>
      <c r="K255" s="2">
        <v>0</v>
      </c>
      <c r="L255" s="2">
        <v>3.2</v>
      </c>
      <c r="M255" s="2">
        <v>799046.94</v>
      </c>
      <c r="N255" s="2">
        <v>144553.64000000001</v>
      </c>
    </row>
    <row r="256" spans="1:14">
      <c r="A256" s="2" t="s">
        <v>85</v>
      </c>
      <c r="B256" s="3">
        <v>45717</v>
      </c>
      <c r="C256" s="2" t="s">
        <v>24</v>
      </c>
      <c r="D256" s="2" t="s">
        <v>21</v>
      </c>
      <c r="E256" s="2">
        <v>75412.740000000005</v>
      </c>
      <c r="F256" s="2">
        <v>5641</v>
      </c>
      <c r="G256" s="2">
        <v>5.8999999999999997E-2</v>
      </c>
      <c r="H256" s="2">
        <v>13</v>
      </c>
      <c r="I256" s="2">
        <v>87.9</v>
      </c>
      <c r="J256" s="2">
        <v>0.84</v>
      </c>
      <c r="K256" s="2">
        <v>0</v>
      </c>
      <c r="L256" s="2">
        <v>3.6</v>
      </c>
      <c r="M256" s="2">
        <v>720079.54</v>
      </c>
      <c r="N256" s="2">
        <v>119499.47</v>
      </c>
    </row>
    <row r="257" spans="1:14">
      <c r="A257" s="2" t="s">
        <v>85</v>
      </c>
      <c r="B257" s="3">
        <v>45748</v>
      </c>
      <c r="C257" s="2" t="s">
        <v>24</v>
      </c>
      <c r="D257" s="2" t="s">
        <v>21</v>
      </c>
      <c r="E257" s="2">
        <v>36290.080000000002</v>
      </c>
      <c r="F257" s="2">
        <v>5787</v>
      </c>
      <c r="G257" s="2">
        <v>0</v>
      </c>
      <c r="H257" s="2">
        <v>17</v>
      </c>
      <c r="I257" s="2">
        <v>88.3</v>
      </c>
      <c r="J257" s="2">
        <v>4.1900000000000004</v>
      </c>
      <c r="K257" s="2">
        <v>0</v>
      </c>
      <c r="L257" s="2">
        <v>4.0999999999999996</v>
      </c>
      <c r="M257" s="2">
        <v>612390.14</v>
      </c>
      <c r="N257" s="2">
        <v>108985.74</v>
      </c>
    </row>
    <row r="258" spans="1:14">
      <c r="A258" s="2" t="s">
        <v>86</v>
      </c>
      <c r="B258" s="3">
        <v>45658</v>
      </c>
      <c r="C258" s="2" t="s">
        <v>24</v>
      </c>
      <c r="D258" s="2" t="s">
        <v>28</v>
      </c>
      <c r="E258" s="2">
        <v>65272.58</v>
      </c>
      <c r="F258" s="2">
        <v>8165</v>
      </c>
      <c r="G258" s="2">
        <v>5.0999999999999997E-2</v>
      </c>
      <c r="H258" s="2">
        <v>19</v>
      </c>
      <c r="I258" s="2">
        <v>87.8</v>
      </c>
      <c r="J258" s="2">
        <v>1.26</v>
      </c>
      <c r="K258" s="2">
        <v>1</v>
      </c>
      <c r="L258" s="2">
        <v>4.3</v>
      </c>
      <c r="M258" s="2">
        <v>840108.12</v>
      </c>
      <c r="N258" s="2">
        <v>126587.01</v>
      </c>
    </row>
    <row r="259" spans="1:14">
      <c r="A259" s="2" t="s">
        <v>86</v>
      </c>
      <c r="B259" s="3">
        <v>45689</v>
      </c>
      <c r="C259" s="2" t="s">
        <v>24</v>
      </c>
      <c r="D259" s="2" t="s">
        <v>28</v>
      </c>
      <c r="E259" s="2">
        <v>28670.43</v>
      </c>
      <c r="F259" s="2">
        <v>7574</v>
      </c>
      <c r="G259" s="2">
        <v>0.114</v>
      </c>
      <c r="H259" s="2">
        <v>19</v>
      </c>
      <c r="I259" s="2">
        <v>82.7</v>
      </c>
      <c r="J259" s="2">
        <v>2.74</v>
      </c>
      <c r="K259" s="2">
        <v>0</v>
      </c>
      <c r="L259" s="2">
        <v>4.5999999999999996</v>
      </c>
      <c r="M259" s="2">
        <v>697888.09</v>
      </c>
      <c r="N259" s="2">
        <v>116249.87</v>
      </c>
    </row>
    <row r="260" spans="1:14">
      <c r="A260" s="2" t="s">
        <v>86</v>
      </c>
      <c r="B260" s="3">
        <v>45717</v>
      </c>
      <c r="C260" s="2" t="s">
        <v>24</v>
      </c>
      <c r="D260" s="2" t="s">
        <v>28</v>
      </c>
      <c r="E260" s="2">
        <v>44189.34</v>
      </c>
      <c r="F260" s="2">
        <v>8634</v>
      </c>
      <c r="G260" s="2">
        <v>0.14299999999999999</v>
      </c>
      <c r="H260" s="2">
        <v>19</v>
      </c>
      <c r="I260" s="2">
        <v>87.5</v>
      </c>
      <c r="J260" s="2">
        <v>3.69</v>
      </c>
      <c r="K260" s="2">
        <v>0</v>
      </c>
      <c r="L260" s="2">
        <v>4.4000000000000004</v>
      </c>
      <c r="M260" s="2">
        <v>746115.59</v>
      </c>
      <c r="N260" s="2">
        <v>94662.96</v>
      </c>
    </row>
    <row r="261" spans="1:14">
      <c r="A261" s="2" t="s">
        <v>86</v>
      </c>
      <c r="B261" s="3">
        <v>45748</v>
      </c>
      <c r="C261" s="2" t="s">
        <v>24</v>
      </c>
      <c r="D261" s="2" t="s">
        <v>28</v>
      </c>
      <c r="E261" s="2">
        <v>38397.82</v>
      </c>
      <c r="F261" s="2">
        <v>7836</v>
      </c>
      <c r="G261" s="2">
        <v>7.0000000000000001E-3</v>
      </c>
      <c r="H261" s="2">
        <v>21</v>
      </c>
      <c r="I261" s="2">
        <v>92.2</v>
      </c>
      <c r="J261" s="2">
        <v>1.82</v>
      </c>
      <c r="K261" s="2">
        <v>0</v>
      </c>
      <c r="L261" s="2">
        <v>3.6</v>
      </c>
      <c r="M261" s="2">
        <v>776110.32</v>
      </c>
      <c r="N261" s="2">
        <v>139676.21</v>
      </c>
    </row>
    <row r="262" spans="1:14">
      <c r="A262" s="2" t="s">
        <v>87</v>
      </c>
      <c r="B262" s="3">
        <v>45658</v>
      </c>
      <c r="C262" s="2" t="s">
        <v>27</v>
      </c>
      <c r="D262" s="2" t="s">
        <v>18</v>
      </c>
      <c r="E262" s="2">
        <v>14519.37</v>
      </c>
      <c r="F262" s="2">
        <v>3047</v>
      </c>
      <c r="G262" s="2">
        <v>0.13500000000000001</v>
      </c>
      <c r="H262" s="2">
        <v>10</v>
      </c>
      <c r="I262" s="2">
        <v>90.3</v>
      </c>
      <c r="J262" s="2">
        <v>6.62</v>
      </c>
      <c r="K262" s="2">
        <v>0</v>
      </c>
      <c r="L262" s="2">
        <v>4.2</v>
      </c>
      <c r="M262" s="2">
        <v>528852.62</v>
      </c>
      <c r="N262" s="2">
        <v>68426.210000000006</v>
      </c>
    </row>
    <row r="263" spans="1:14">
      <c r="A263" s="2" t="s">
        <v>87</v>
      </c>
      <c r="B263" s="3">
        <v>45689</v>
      </c>
      <c r="C263" s="2" t="s">
        <v>27</v>
      </c>
      <c r="D263" s="2" t="s">
        <v>18</v>
      </c>
      <c r="E263" s="2">
        <v>43288.2</v>
      </c>
      <c r="F263" s="2">
        <v>4783</v>
      </c>
      <c r="G263" s="2">
        <v>0.16900000000000001</v>
      </c>
      <c r="H263" s="2">
        <v>13</v>
      </c>
      <c r="I263" s="2">
        <v>87.3</v>
      </c>
      <c r="J263" s="2">
        <v>3.3650000000000002</v>
      </c>
      <c r="K263" s="2">
        <v>0</v>
      </c>
      <c r="L263" s="2">
        <v>4.2</v>
      </c>
      <c r="M263" s="2">
        <v>605751.32999999996</v>
      </c>
      <c r="N263" s="2">
        <v>60685.53</v>
      </c>
    </row>
    <row r="264" spans="1:14">
      <c r="A264" s="2" t="s">
        <v>87</v>
      </c>
      <c r="B264" s="3">
        <v>45717</v>
      </c>
      <c r="C264" s="2" t="s">
        <v>27</v>
      </c>
      <c r="D264" s="2" t="s">
        <v>18</v>
      </c>
      <c r="E264" s="2">
        <v>51450.55</v>
      </c>
      <c r="F264" s="2">
        <v>4902</v>
      </c>
      <c r="G264" s="2">
        <v>8.5999999999999993E-2</v>
      </c>
      <c r="H264" s="2">
        <v>11</v>
      </c>
      <c r="I264" s="2">
        <v>83.7</v>
      </c>
      <c r="J264" s="2">
        <v>6.92</v>
      </c>
      <c r="K264" s="2">
        <v>1</v>
      </c>
      <c r="L264" s="2">
        <v>4.2</v>
      </c>
      <c r="M264" s="2">
        <v>677640.65</v>
      </c>
      <c r="N264" s="2">
        <v>111610.89</v>
      </c>
    </row>
    <row r="265" spans="1:14">
      <c r="A265" s="2" t="s">
        <v>87</v>
      </c>
      <c r="B265" s="3">
        <v>45748</v>
      </c>
      <c r="C265" s="2" t="s">
        <v>27</v>
      </c>
      <c r="D265" s="2" t="s">
        <v>18</v>
      </c>
      <c r="E265" s="2">
        <v>58688.26</v>
      </c>
      <c r="F265" s="2">
        <v>4022</v>
      </c>
      <c r="G265" s="2">
        <v>0.217</v>
      </c>
      <c r="H265" s="2">
        <v>12</v>
      </c>
      <c r="I265" s="2">
        <v>93.8</v>
      </c>
      <c r="J265" s="2">
        <v>11.78</v>
      </c>
      <c r="K265" s="2">
        <v>0</v>
      </c>
      <c r="L265" s="2">
        <v>3.7</v>
      </c>
      <c r="M265" s="2">
        <v>636613.23</v>
      </c>
      <c r="N265" s="2">
        <v>78908.350000000006</v>
      </c>
    </row>
    <row r="266" spans="1:14">
      <c r="A266" s="2" t="s">
        <v>88</v>
      </c>
      <c r="B266" s="3">
        <v>45658</v>
      </c>
      <c r="C266" s="2" t="s">
        <v>15</v>
      </c>
      <c r="D266" s="2" t="s">
        <v>18</v>
      </c>
      <c r="E266" s="2">
        <v>58981.91</v>
      </c>
      <c r="F266" s="2">
        <v>7324</v>
      </c>
      <c r="G266" s="2">
        <v>9.4E-2</v>
      </c>
      <c r="H266" s="2">
        <v>15</v>
      </c>
      <c r="I266" s="2">
        <v>95.8</v>
      </c>
      <c r="J266" s="2">
        <v>0.5</v>
      </c>
      <c r="K266" s="2">
        <v>0</v>
      </c>
      <c r="L266" s="2">
        <v>3.5</v>
      </c>
      <c r="M266" s="2">
        <v>708985.19</v>
      </c>
      <c r="N266" s="2">
        <v>125368.16</v>
      </c>
    </row>
    <row r="267" spans="1:14">
      <c r="A267" s="2" t="s">
        <v>88</v>
      </c>
      <c r="B267" s="3">
        <v>45689</v>
      </c>
      <c r="C267" s="2" t="s">
        <v>15</v>
      </c>
      <c r="D267" s="2" t="s">
        <v>18</v>
      </c>
      <c r="E267" s="2">
        <v>73454.539999999994</v>
      </c>
      <c r="F267" s="2">
        <v>8129</v>
      </c>
      <c r="G267" s="2">
        <v>0.21099999999999999</v>
      </c>
      <c r="H267" s="2">
        <v>20</v>
      </c>
      <c r="I267" s="2">
        <v>85.2</v>
      </c>
      <c r="J267" s="2">
        <v>0.88</v>
      </c>
      <c r="K267" s="2">
        <v>0</v>
      </c>
      <c r="L267" s="2">
        <v>3.7</v>
      </c>
      <c r="M267" s="2">
        <v>767792.94</v>
      </c>
      <c r="N267" s="2">
        <v>96235.77</v>
      </c>
    </row>
    <row r="268" spans="1:14">
      <c r="A268" s="2" t="s">
        <v>88</v>
      </c>
      <c r="B268" s="3">
        <v>45717</v>
      </c>
      <c r="C268" s="2" t="s">
        <v>15</v>
      </c>
      <c r="D268" s="2" t="s">
        <v>18</v>
      </c>
      <c r="E268" s="2">
        <v>56602.39</v>
      </c>
      <c r="F268" s="2">
        <v>7969</v>
      </c>
      <c r="G268" s="2">
        <v>0.17</v>
      </c>
      <c r="H268" s="2">
        <v>21</v>
      </c>
      <c r="I268" s="2">
        <v>88.3</v>
      </c>
      <c r="J268" s="2">
        <v>2.25</v>
      </c>
      <c r="K268" s="2">
        <v>0</v>
      </c>
      <c r="L268" s="2">
        <v>3.7</v>
      </c>
      <c r="M268" s="2">
        <v>745580.51</v>
      </c>
      <c r="N268" s="2">
        <v>116273.68</v>
      </c>
    </row>
    <row r="269" spans="1:14">
      <c r="A269" s="2" t="s">
        <v>88</v>
      </c>
      <c r="B269" s="3">
        <v>45748</v>
      </c>
      <c r="C269" s="2" t="s">
        <v>15</v>
      </c>
      <c r="D269" s="2" t="s">
        <v>18</v>
      </c>
      <c r="E269" s="2">
        <v>67722.289999999994</v>
      </c>
      <c r="F269" s="2">
        <v>7240</v>
      </c>
      <c r="G269" s="2">
        <v>2.5999999999999999E-2</v>
      </c>
      <c r="H269" s="2">
        <v>15</v>
      </c>
      <c r="I269" s="2">
        <v>92.9</v>
      </c>
      <c r="J269" s="2">
        <v>0.28999999999999998</v>
      </c>
      <c r="K269" s="2">
        <v>0</v>
      </c>
      <c r="L269" s="2">
        <v>3.5</v>
      </c>
      <c r="M269" s="2">
        <v>762328.31</v>
      </c>
      <c r="N269" s="2">
        <v>159158.19</v>
      </c>
    </row>
    <row r="270" spans="1:14">
      <c r="A270" s="2" t="s">
        <v>89</v>
      </c>
      <c r="B270" s="3">
        <v>45658</v>
      </c>
      <c r="C270" s="2" t="s">
        <v>15</v>
      </c>
      <c r="D270" s="2" t="s">
        <v>28</v>
      </c>
      <c r="E270" s="2">
        <v>48752.92</v>
      </c>
      <c r="F270" s="2">
        <v>8052</v>
      </c>
      <c r="G270" s="2">
        <v>0.106</v>
      </c>
      <c r="H270" s="2">
        <v>16</v>
      </c>
      <c r="I270" s="2">
        <v>94.9</v>
      </c>
      <c r="J270" s="2">
        <v>0.65</v>
      </c>
      <c r="K270" s="2">
        <v>0</v>
      </c>
      <c r="L270" s="2">
        <v>3.6</v>
      </c>
      <c r="M270" s="2">
        <v>660633.99</v>
      </c>
      <c r="N270" s="2">
        <v>118768.66</v>
      </c>
    </row>
    <row r="271" spans="1:14">
      <c r="A271" s="2" t="s">
        <v>89</v>
      </c>
      <c r="B271" s="3">
        <v>45689</v>
      </c>
      <c r="C271" s="2" t="s">
        <v>15</v>
      </c>
      <c r="D271" s="2" t="s">
        <v>28</v>
      </c>
      <c r="E271" s="2">
        <v>23914.97</v>
      </c>
      <c r="F271" s="2">
        <v>8018</v>
      </c>
      <c r="G271" s="2">
        <v>0.13900000000000001</v>
      </c>
      <c r="H271" s="2">
        <v>20</v>
      </c>
      <c r="I271" s="2">
        <v>89</v>
      </c>
      <c r="J271" s="2">
        <v>0.2</v>
      </c>
      <c r="K271" s="2">
        <v>0</v>
      </c>
      <c r="L271" s="2">
        <v>3.5</v>
      </c>
      <c r="M271" s="2">
        <v>739374.56</v>
      </c>
      <c r="N271" s="2">
        <v>121032.29</v>
      </c>
    </row>
    <row r="272" spans="1:14">
      <c r="A272" s="2" t="s">
        <v>89</v>
      </c>
      <c r="B272" s="3">
        <v>45717</v>
      </c>
      <c r="C272" s="2" t="s">
        <v>15</v>
      </c>
      <c r="D272" s="2" t="s">
        <v>28</v>
      </c>
      <c r="E272" s="2">
        <v>61995.3</v>
      </c>
      <c r="F272" s="2">
        <v>10192</v>
      </c>
      <c r="G272" s="2">
        <v>0.19800000000000001</v>
      </c>
      <c r="H272" s="2">
        <v>21</v>
      </c>
      <c r="I272" s="2">
        <v>87.6</v>
      </c>
      <c r="J272" s="2">
        <v>3.63</v>
      </c>
      <c r="K272" s="2">
        <v>1</v>
      </c>
      <c r="L272" s="2">
        <v>3.8</v>
      </c>
      <c r="M272" s="2">
        <v>799756.46</v>
      </c>
      <c r="N272" s="2">
        <v>105052.93</v>
      </c>
    </row>
    <row r="273" spans="1:14">
      <c r="A273" s="2" t="s">
        <v>89</v>
      </c>
      <c r="B273" s="3">
        <v>45748</v>
      </c>
      <c r="C273" s="2" t="s">
        <v>15</v>
      </c>
      <c r="D273" s="2" t="s">
        <v>28</v>
      </c>
      <c r="E273" s="2">
        <v>29344.93</v>
      </c>
      <c r="F273" s="2">
        <v>7446</v>
      </c>
      <c r="G273" s="2">
        <v>0.111</v>
      </c>
      <c r="H273" s="2">
        <v>15</v>
      </c>
      <c r="I273" s="2">
        <v>86.2</v>
      </c>
      <c r="J273" s="2">
        <v>0.2</v>
      </c>
      <c r="K273" s="2">
        <v>0</v>
      </c>
      <c r="L273" s="2">
        <v>3.2</v>
      </c>
      <c r="M273" s="2">
        <v>593343</v>
      </c>
      <c r="N273" s="2">
        <v>82832.240000000005</v>
      </c>
    </row>
    <row r="274" spans="1:14">
      <c r="A274" s="2" t="s">
        <v>90</v>
      </c>
      <c r="B274" s="3">
        <v>45658</v>
      </c>
      <c r="C274" s="2" t="s">
        <v>27</v>
      </c>
      <c r="D274" s="2" t="s">
        <v>18</v>
      </c>
      <c r="E274" s="2">
        <v>50532.17</v>
      </c>
      <c r="F274" s="2">
        <v>5689</v>
      </c>
      <c r="G274" s="2">
        <v>5.1999999999999998E-2</v>
      </c>
      <c r="H274" s="2">
        <v>17</v>
      </c>
      <c r="I274" s="2">
        <v>85.6</v>
      </c>
      <c r="J274" s="2">
        <v>6.23</v>
      </c>
      <c r="K274" s="2">
        <v>0</v>
      </c>
      <c r="L274" s="2">
        <v>3.3</v>
      </c>
      <c r="M274" s="2">
        <v>645039.97</v>
      </c>
      <c r="N274" s="2">
        <v>83093.33</v>
      </c>
    </row>
    <row r="275" spans="1:14">
      <c r="A275" s="2" t="s">
        <v>90</v>
      </c>
      <c r="B275" s="3">
        <v>45689</v>
      </c>
      <c r="C275" s="2" t="s">
        <v>27</v>
      </c>
      <c r="D275" s="2" t="s">
        <v>18</v>
      </c>
      <c r="E275" s="2">
        <v>17562.57</v>
      </c>
      <c r="F275" s="2">
        <v>3326</v>
      </c>
      <c r="G275" s="2">
        <v>0.153</v>
      </c>
      <c r="H275" s="2">
        <v>14</v>
      </c>
      <c r="I275" s="2">
        <v>88.1</v>
      </c>
      <c r="J275" s="2">
        <v>1.04</v>
      </c>
      <c r="K275" s="2">
        <v>0</v>
      </c>
      <c r="L275" s="2">
        <v>3.1</v>
      </c>
      <c r="M275" s="2">
        <v>561597.32999999996</v>
      </c>
      <c r="N275" s="2">
        <v>75072.75</v>
      </c>
    </row>
    <row r="276" spans="1:14">
      <c r="A276" s="2" t="s">
        <v>90</v>
      </c>
      <c r="B276" s="3">
        <v>45717</v>
      </c>
      <c r="C276" s="2" t="s">
        <v>27</v>
      </c>
      <c r="D276" s="2" t="s">
        <v>18</v>
      </c>
      <c r="E276" s="2">
        <v>47648.71</v>
      </c>
      <c r="F276" s="2">
        <v>5767</v>
      </c>
      <c r="G276" s="2">
        <v>0.14099999999999999</v>
      </c>
      <c r="H276" s="2">
        <v>17</v>
      </c>
      <c r="I276" s="2">
        <v>89.8</v>
      </c>
      <c r="J276" s="2">
        <v>1.76</v>
      </c>
      <c r="K276" s="2">
        <v>0</v>
      </c>
      <c r="L276" s="2">
        <v>3.1</v>
      </c>
      <c r="M276" s="2">
        <v>635837.74</v>
      </c>
      <c r="N276" s="2">
        <v>114740.64</v>
      </c>
    </row>
    <row r="277" spans="1:14">
      <c r="A277" s="2" t="s">
        <v>90</v>
      </c>
      <c r="B277" s="3">
        <v>45748</v>
      </c>
      <c r="C277" s="2" t="s">
        <v>27</v>
      </c>
      <c r="D277" s="2" t="s">
        <v>18</v>
      </c>
      <c r="E277" s="2">
        <v>38297.58</v>
      </c>
      <c r="F277" s="2">
        <v>5893</v>
      </c>
      <c r="G277" s="2">
        <v>0.247</v>
      </c>
      <c r="H277" s="2">
        <v>18</v>
      </c>
      <c r="I277" s="2">
        <v>77.599999999999994</v>
      </c>
      <c r="J277" s="2">
        <v>2.86</v>
      </c>
      <c r="K277" s="2">
        <v>0</v>
      </c>
      <c r="L277" s="2">
        <v>3</v>
      </c>
      <c r="M277" s="2">
        <v>686737.87</v>
      </c>
      <c r="N277" s="2">
        <v>83839.67</v>
      </c>
    </row>
    <row r="278" spans="1:14">
      <c r="A278" s="2" t="s">
        <v>91</v>
      </c>
      <c r="B278" s="3">
        <v>45658</v>
      </c>
      <c r="C278" s="2" t="s">
        <v>24</v>
      </c>
      <c r="D278" s="2" t="s">
        <v>16</v>
      </c>
      <c r="E278" s="2">
        <v>61784.11</v>
      </c>
      <c r="F278" s="2">
        <v>8564</v>
      </c>
      <c r="G278" s="2">
        <v>0.13</v>
      </c>
      <c r="H278" s="2">
        <v>17</v>
      </c>
      <c r="I278" s="2">
        <v>87.4</v>
      </c>
      <c r="J278" s="2">
        <v>18.14</v>
      </c>
      <c r="K278" s="2">
        <v>1</v>
      </c>
      <c r="L278" s="2">
        <v>3.4</v>
      </c>
      <c r="M278" s="2">
        <v>673076.34</v>
      </c>
      <c r="N278" s="2">
        <v>93899.76</v>
      </c>
    </row>
    <row r="279" spans="1:14">
      <c r="A279" s="2" t="s">
        <v>91</v>
      </c>
      <c r="B279" s="3">
        <v>45689</v>
      </c>
      <c r="C279" s="2" t="s">
        <v>24</v>
      </c>
      <c r="D279" s="2" t="s">
        <v>16</v>
      </c>
      <c r="E279" s="2">
        <v>36832.33</v>
      </c>
      <c r="F279" s="2">
        <v>8001</v>
      </c>
      <c r="G279" s="2">
        <v>0</v>
      </c>
      <c r="H279" s="2">
        <v>19</v>
      </c>
      <c r="I279" s="2">
        <v>88.7</v>
      </c>
      <c r="J279" s="2">
        <v>3.39</v>
      </c>
      <c r="K279" s="2">
        <v>0</v>
      </c>
      <c r="L279" s="2">
        <v>4</v>
      </c>
      <c r="M279" s="2">
        <v>738548.42</v>
      </c>
      <c r="N279" s="2">
        <v>134282.76999999999</v>
      </c>
    </row>
    <row r="280" spans="1:14">
      <c r="A280" s="2" t="s">
        <v>91</v>
      </c>
      <c r="B280" s="3">
        <v>45717</v>
      </c>
      <c r="C280" s="2" t="s">
        <v>24</v>
      </c>
      <c r="D280" s="2" t="s">
        <v>16</v>
      </c>
      <c r="E280" s="2">
        <v>48609.41</v>
      </c>
      <c r="F280" s="2">
        <v>9324</v>
      </c>
      <c r="G280" s="2">
        <v>0.21299999999999999</v>
      </c>
      <c r="H280" s="2">
        <v>18</v>
      </c>
      <c r="I280" s="2">
        <v>86.5</v>
      </c>
      <c r="J280" s="2">
        <v>1.44</v>
      </c>
      <c r="K280" s="2">
        <v>0</v>
      </c>
      <c r="L280" s="2">
        <v>3.9</v>
      </c>
      <c r="M280" s="2">
        <v>756619.77</v>
      </c>
      <c r="N280" s="2">
        <v>112057.69</v>
      </c>
    </row>
    <row r="281" spans="1:14">
      <c r="A281" s="2" t="s">
        <v>91</v>
      </c>
      <c r="B281" s="3">
        <v>45748</v>
      </c>
      <c r="C281" s="2" t="s">
        <v>24</v>
      </c>
      <c r="D281" s="2" t="s">
        <v>16</v>
      </c>
      <c r="E281" s="2">
        <v>70284.06</v>
      </c>
      <c r="F281" s="2">
        <v>9109</v>
      </c>
      <c r="G281" s="2">
        <v>4.0000000000000001E-3</v>
      </c>
      <c r="H281" s="2">
        <v>23</v>
      </c>
      <c r="I281" s="2">
        <v>87</v>
      </c>
      <c r="J281" s="2">
        <v>3.65</v>
      </c>
      <c r="K281" s="2">
        <v>0</v>
      </c>
      <c r="L281" s="2">
        <v>3.7</v>
      </c>
      <c r="M281" s="2">
        <v>761122.42</v>
      </c>
      <c r="N281" s="2">
        <v>149802.04</v>
      </c>
    </row>
    <row r="282" spans="1:14">
      <c r="A282" s="2" t="s">
        <v>92</v>
      </c>
      <c r="B282" s="3">
        <v>45658</v>
      </c>
      <c r="C282" s="2" t="s">
        <v>24</v>
      </c>
      <c r="D282" s="2" t="s">
        <v>18</v>
      </c>
      <c r="E282" s="2">
        <v>45940.39</v>
      </c>
      <c r="F282" s="2">
        <v>4022</v>
      </c>
      <c r="G282" s="2">
        <v>6.9000000000000006E-2</v>
      </c>
      <c r="H282" s="2">
        <v>10</v>
      </c>
      <c r="I282" s="2">
        <v>83</v>
      </c>
      <c r="J282" s="2">
        <v>1.23</v>
      </c>
      <c r="K282" s="2">
        <v>1</v>
      </c>
      <c r="L282" s="2">
        <v>3.8</v>
      </c>
      <c r="M282" s="2">
        <v>524899.56999999995</v>
      </c>
      <c r="N282" s="2">
        <v>63619.98</v>
      </c>
    </row>
    <row r="283" spans="1:14">
      <c r="A283" s="2" t="s">
        <v>92</v>
      </c>
      <c r="B283" s="3">
        <v>45689</v>
      </c>
      <c r="C283" s="2" t="s">
        <v>24</v>
      </c>
      <c r="D283" s="2" t="s">
        <v>18</v>
      </c>
      <c r="E283" s="2">
        <v>34771.26</v>
      </c>
      <c r="F283" s="2">
        <v>4355</v>
      </c>
      <c r="G283" s="2">
        <v>5.0999999999999997E-2</v>
      </c>
      <c r="H283" s="2">
        <v>15</v>
      </c>
      <c r="I283" s="2">
        <v>87.9</v>
      </c>
      <c r="J283" s="2">
        <v>3.09</v>
      </c>
      <c r="K283" s="2">
        <v>0</v>
      </c>
      <c r="L283" s="2">
        <v>4</v>
      </c>
      <c r="M283" s="2">
        <v>555557.77</v>
      </c>
      <c r="N283" s="2">
        <v>86475.51</v>
      </c>
    </row>
    <row r="284" spans="1:14">
      <c r="A284" s="2" t="s">
        <v>92</v>
      </c>
      <c r="B284" s="3">
        <v>45717</v>
      </c>
      <c r="C284" s="2" t="s">
        <v>24</v>
      </c>
      <c r="D284" s="2" t="s">
        <v>18</v>
      </c>
      <c r="E284" s="2">
        <v>66104.19</v>
      </c>
      <c r="F284" s="2">
        <v>5745</v>
      </c>
      <c r="G284" s="2">
        <v>7.0000000000000007E-2</v>
      </c>
      <c r="H284" s="2">
        <v>17</v>
      </c>
      <c r="I284" s="2">
        <v>95.8</v>
      </c>
      <c r="J284" s="2">
        <v>3.15</v>
      </c>
      <c r="K284" s="2">
        <v>0</v>
      </c>
      <c r="L284" s="2">
        <v>4</v>
      </c>
      <c r="M284" s="2">
        <v>714083.68</v>
      </c>
      <c r="N284" s="2">
        <v>127231.74</v>
      </c>
    </row>
    <row r="285" spans="1:14">
      <c r="A285" s="2" t="s">
        <v>92</v>
      </c>
      <c r="B285" s="3">
        <v>45748</v>
      </c>
      <c r="C285" s="2" t="s">
        <v>24</v>
      </c>
      <c r="D285" s="2" t="s">
        <v>18</v>
      </c>
      <c r="E285" s="2">
        <v>18599.21</v>
      </c>
      <c r="F285" s="2">
        <v>3027</v>
      </c>
      <c r="G285" s="2">
        <v>0.122</v>
      </c>
      <c r="H285" s="2">
        <v>11</v>
      </c>
      <c r="I285" s="2">
        <v>80.900000000000006</v>
      </c>
      <c r="J285" s="2">
        <v>6.44</v>
      </c>
      <c r="K285" s="2">
        <v>0</v>
      </c>
      <c r="L285" s="2">
        <v>4.2</v>
      </c>
      <c r="M285" s="2">
        <v>497439.82</v>
      </c>
      <c r="N285" s="2">
        <v>93372.75</v>
      </c>
    </row>
    <row r="286" spans="1:14">
      <c r="A286" s="2" t="s">
        <v>93</v>
      </c>
      <c r="B286" s="3">
        <v>45658</v>
      </c>
      <c r="C286" s="2" t="s">
        <v>27</v>
      </c>
      <c r="D286" s="2" t="s">
        <v>16</v>
      </c>
      <c r="E286" s="2">
        <v>60183.06</v>
      </c>
      <c r="F286" s="2">
        <v>5562</v>
      </c>
      <c r="G286" s="2">
        <v>8.9999999999999993E-3</v>
      </c>
      <c r="H286" s="2">
        <v>13</v>
      </c>
      <c r="I286" s="2">
        <v>86.3</v>
      </c>
      <c r="J286" s="2">
        <v>0.2</v>
      </c>
      <c r="K286" s="2">
        <v>1</v>
      </c>
      <c r="L286" s="2">
        <v>4.5</v>
      </c>
      <c r="M286" s="2">
        <v>636775.66</v>
      </c>
      <c r="N286" s="2">
        <v>122636.86</v>
      </c>
    </row>
    <row r="287" spans="1:14">
      <c r="A287" s="2" t="s">
        <v>93</v>
      </c>
      <c r="B287" s="3">
        <v>45689</v>
      </c>
      <c r="C287" s="2" t="s">
        <v>27</v>
      </c>
      <c r="D287" s="2" t="s">
        <v>16</v>
      </c>
      <c r="E287" s="2">
        <v>74539.14</v>
      </c>
      <c r="F287" s="2">
        <v>4487</v>
      </c>
      <c r="G287" s="2">
        <v>0.14000000000000001</v>
      </c>
      <c r="H287" s="2">
        <v>10</v>
      </c>
      <c r="I287" s="2">
        <v>90.4</v>
      </c>
      <c r="J287" s="2">
        <v>0.59</v>
      </c>
      <c r="K287" s="2">
        <v>0</v>
      </c>
      <c r="L287" s="2">
        <v>4.5</v>
      </c>
      <c r="M287" s="2">
        <v>633009.53</v>
      </c>
      <c r="N287" s="2">
        <v>123782.67</v>
      </c>
    </row>
    <row r="288" spans="1:14">
      <c r="A288" s="2" t="s">
        <v>93</v>
      </c>
      <c r="B288" s="3">
        <v>45717</v>
      </c>
      <c r="C288" s="2" t="s">
        <v>27</v>
      </c>
      <c r="D288" s="2" t="s">
        <v>16</v>
      </c>
      <c r="E288" s="2">
        <v>55371.97</v>
      </c>
      <c r="F288" s="2">
        <v>4162</v>
      </c>
      <c r="G288" s="2">
        <v>0.183</v>
      </c>
      <c r="H288" s="2">
        <v>11</v>
      </c>
      <c r="I288" s="2">
        <v>92</v>
      </c>
      <c r="J288" s="2">
        <v>0.2</v>
      </c>
      <c r="K288" s="2">
        <v>1</v>
      </c>
      <c r="L288" s="2">
        <v>4.2</v>
      </c>
      <c r="M288" s="2">
        <v>609949</v>
      </c>
      <c r="N288" s="2">
        <v>126789.25</v>
      </c>
    </row>
    <row r="289" spans="1:14">
      <c r="A289" s="2" t="s">
        <v>93</v>
      </c>
      <c r="B289" s="3">
        <v>45748</v>
      </c>
      <c r="C289" s="2" t="s">
        <v>27</v>
      </c>
      <c r="D289" s="2" t="s">
        <v>16</v>
      </c>
      <c r="E289" s="2">
        <v>40928.69</v>
      </c>
      <c r="F289" s="2">
        <v>4094</v>
      </c>
      <c r="G289" s="2">
        <v>0.17399999999999999</v>
      </c>
      <c r="H289" s="2">
        <v>13</v>
      </c>
      <c r="I289" s="2">
        <v>82.4</v>
      </c>
      <c r="J289" s="2">
        <v>1.36</v>
      </c>
      <c r="K289" s="2">
        <v>0</v>
      </c>
      <c r="L289" s="2">
        <v>4.8</v>
      </c>
      <c r="M289" s="2">
        <v>548103.69999999995</v>
      </c>
      <c r="N289" s="2">
        <v>99905.52</v>
      </c>
    </row>
    <row r="290" spans="1:14">
      <c r="A290" s="2" t="s">
        <v>94</v>
      </c>
      <c r="B290" s="3">
        <v>45658</v>
      </c>
      <c r="C290" s="2" t="s">
        <v>15</v>
      </c>
      <c r="D290" s="2" t="s">
        <v>16</v>
      </c>
      <c r="E290" s="2">
        <v>70012.41</v>
      </c>
      <c r="F290" s="2">
        <v>8484</v>
      </c>
      <c r="G290" s="2">
        <v>0.27300000000000002</v>
      </c>
      <c r="H290" s="2">
        <v>23</v>
      </c>
      <c r="I290" s="2">
        <v>72.900000000000006</v>
      </c>
      <c r="J290" s="2">
        <v>3.34</v>
      </c>
      <c r="K290" s="2">
        <v>0</v>
      </c>
      <c r="L290" s="2">
        <v>3.7</v>
      </c>
      <c r="M290" s="2">
        <v>729424.42</v>
      </c>
      <c r="N290" s="2">
        <v>75592.28</v>
      </c>
    </row>
    <row r="291" spans="1:14">
      <c r="A291" s="2" t="s">
        <v>94</v>
      </c>
      <c r="B291" s="3">
        <v>45689</v>
      </c>
      <c r="C291" s="2" t="s">
        <v>15</v>
      </c>
      <c r="D291" s="2" t="s">
        <v>16</v>
      </c>
      <c r="E291" s="2">
        <v>68909.259999999995</v>
      </c>
      <c r="F291" s="2">
        <v>7794</v>
      </c>
      <c r="G291" s="2">
        <v>0.28399999999999997</v>
      </c>
      <c r="H291" s="2">
        <v>22</v>
      </c>
      <c r="I291" s="2">
        <v>89</v>
      </c>
      <c r="J291" s="2">
        <v>0.33</v>
      </c>
      <c r="K291" s="2">
        <v>0</v>
      </c>
      <c r="L291" s="2">
        <v>4</v>
      </c>
      <c r="M291" s="2">
        <v>696261.49</v>
      </c>
      <c r="N291" s="2">
        <v>72455.350000000006</v>
      </c>
    </row>
    <row r="292" spans="1:14">
      <c r="A292" s="2" t="s">
        <v>94</v>
      </c>
      <c r="B292" s="3">
        <v>45717</v>
      </c>
      <c r="C292" s="2" t="s">
        <v>15</v>
      </c>
      <c r="D292" s="2" t="s">
        <v>16</v>
      </c>
      <c r="E292" s="2">
        <v>56737.3</v>
      </c>
      <c r="F292" s="2">
        <v>8300</v>
      </c>
      <c r="G292" s="2">
        <v>3.2000000000000001E-2</v>
      </c>
      <c r="H292" s="2">
        <v>21</v>
      </c>
      <c r="I292" s="2">
        <v>83.2</v>
      </c>
      <c r="J292" s="2">
        <v>3.44</v>
      </c>
      <c r="K292" s="2">
        <v>1</v>
      </c>
      <c r="L292" s="2">
        <v>4.3</v>
      </c>
      <c r="M292" s="2">
        <v>813316.71</v>
      </c>
      <c r="N292" s="2">
        <v>110077.42</v>
      </c>
    </row>
    <row r="293" spans="1:14">
      <c r="A293" s="2" t="s">
        <v>94</v>
      </c>
      <c r="B293" s="3">
        <v>45748</v>
      </c>
      <c r="C293" s="2" t="s">
        <v>15</v>
      </c>
      <c r="D293" s="2" t="s">
        <v>16</v>
      </c>
      <c r="E293" s="2">
        <v>54080.91</v>
      </c>
      <c r="F293" s="2">
        <v>7083</v>
      </c>
      <c r="G293" s="2">
        <v>0</v>
      </c>
      <c r="H293" s="2">
        <v>15</v>
      </c>
      <c r="I293" s="2">
        <v>97</v>
      </c>
      <c r="J293" s="2">
        <v>5.33</v>
      </c>
      <c r="K293" s="2">
        <v>0</v>
      </c>
      <c r="L293" s="2">
        <v>4.0999999999999996</v>
      </c>
      <c r="M293" s="2">
        <v>702068.92</v>
      </c>
      <c r="N293" s="2">
        <v>111266.63</v>
      </c>
    </row>
    <row r="294" spans="1:14">
      <c r="A294" s="2" t="s">
        <v>95</v>
      </c>
      <c r="B294" s="3">
        <v>45658</v>
      </c>
      <c r="C294" s="2" t="s">
        <v>27</v>
      </c>
      <c r="D294" s="2" t="s">
        <v>18</v>
      </c>
      <c r="E294" s="2">
        <v>51996.32</v>
      </c>
      <c r="F294" s="2">
        <v>3834</v>
      </c>
      <c r="G294" s="2">
        <v>9.6000000000000002E-2</v>
      </c>
      <c r="H294" s="2">
        <v>8</v>
      </c>
      <c r="I294" s="2">
        <v>86.7</v>
      </c>
      <c r="J294" s="2">
        <v>6.04</v>
      </c>
      <c r="K294" s="2">
        <v>0</v>
      </c>
      <c r="L294" s="2">
        <v>4.5</v>
      </c>
      <c r="M294" s="2">
        <v>546223.69999999995</v>
      </c>
      <c r="N294" s="2">
        <v>100769.17</v>
      </c>
    </row>
    <row r="295" spans="1:14">
      <c r="A295" s="2" t="s">
        <v>95</v>
      </c>
      <c r="B295" s="3">
        <v>45689</v>
      </c>
      <c r="C295" s="2" t="s">
        <v>27</v>
      </c>
      <c r="D295" s="2" t="s">
        <v>18</v>
      </c>
      <c r="E295" s="2">
        <v>40102.879999999997</v>
      </c>
      <c r="F295" s="2">
        <v>2358</v>
      </c>
      <c r="G295" s="2">
        <v>0.11899999999999999</v>
      </c>
      <c r="H295" s="2">
        <v>9</v>
      </c>
      <c r="I295" s="2">
        <v>88.7</v>
      </c>
      <c r="J295" s="2">
        <v>1.6</v>
      </c>
      <c r="K295" s="2">
        <v>0</v>
      </c>
      <c r="L295" s="2">
        <v>4.2</v>
      </c>
      <c r="M295" s="2">
        <v>533121.26</v>
      </c>
      <c r="N295" s="2">
        <v>55063.39</v>
      </c>
    </row>
    <row r="296" spans="1:14">
      <c r="A296" s="2" t="s">
        <v>95</v>
      </c>
      <c r="B296" s="3">
        <v>45717</v>
      </c>
      <c r="C296" s="2" t="s">
        <v>27</v>
      </c>
      <c r="D296" s="2" t="s">
        <v>18</v>
      </c>
      <c r="E296" s="2">
        <v>59825.51</v>
      </c>
      <c r="F296" s="2">
        <v>1231</v>
      </c>
      <c r="G296" s="2">
        <v>0.214</v>
      </c>
      <c r="H296" s="2">
        <v>10</v>
      </c>
      <c r="I296" s="2">
        <v>84.8</v>
      </c>
      <c r="J296" s="2">
        <v>8.9600000000000009</v>
      </c>
      <c r="K296" s="2">
        <v>0</v>
      </c>
      <c r="L296" s="2">
        <v>4.7</v>
      </c>
      <c r="M296" s="2">
        <v>498970.32</v>
      </c>
      <c r="N296" s="2">
        <v>69656.7</v>
      </c>
    </row>
    <row r="297" spans="1:14">
      <c r="A297" s="2" t="s">
        <v>95</v>
      </c>
      <c r="B297" s="3">
        <v>45748</v>
      </c>
      <c r="C297" s="2" t="s">
        <v>27</v>
      </c>
      <c r="D297" s="2" t="s">
        <v>18</v>
      </c>
      <c r="E297" s="2">
        <v>27398.28</v>
      </c>
      <c r="F297" s="2">
        <v>1723</v>
      </c>
      <c r="G297" s="2">
        <v>0.17100000000000001</v>
      </c>
      <c r="H297" s="2">
        <v>9</v>
      </c>
      <c r="I297" s="2">
        <v>81</v>
      </c>
      <c r="J297" s="2">
        <v>0.74</v>
      </c>
      <c r="K297" s="2">
        <v>0</v>
      </c>
      <c r="L297" s="2">
        <v>4.5999999999999996</v>
      </c>
      <c r="M297" s="2">
        <v>487738.26</v>
      </c>
      <c r="N297" s="2">
        <v>96435.6</v>
      </c>
    </row>
    <row r="298" spans="1:14">
      <c r="A298" s="2" t="s">
        <v>96</v>
      </c>
      <c r="B298" s="3">
        <v>45658</v>
      </c>
      <c r="C298" s="2" t="s">
        <v>27</v>
      </c>
      <c r="D298" s="2" t="s">
        <v>18</v>
      </c>
      <c r="E298" s="2">
        <v>55599.56</v>
      </c>
      <c r="F298" s="2">
        <v>5896</v>
      </c>
      <c r="G298" s="2">
        <v>3.5999999999999997E-2</v>
      </c>
      <c r="H298" s="2">
        <v>12</v>
      </c>
      <c r="I298" s="2">
        <v>93.1</v>
      </c>
      <c r="J298" s="2">
        <v>6.13</v>
      </c>
      <c r="K298" s="2">
        <v>0</v>
      </c>
      <c r="L298" s="2">
        <v>3.3</v>
      </c>
      <c r="M298" s="2">
        <v>668459.37</v>
      </c>
      <c r="N298" s="2">
        <v>126435.42</v>
      </c>
    </row>
    <row r="299" spans="1:14">
      <c r="A299" s="2" t="s">
        <v>96</v>
      </c>
      <c r="B299" s="3">
        <v>45689</v>
      </c>
      <c r="C299" s="2" t="s">
        <v>27</v>
      </c>
      <c r="D299" s="2" t="s">
        <v>18</v>
      </c>
      <c r="E299" s="2">
        <v>55477.61</v>
      </c>
      <c r="F299" s="2">
        <v>5903</v>
      </c>
      <c r="G299" s="2">
        <v>0.10199999999999999</v>
      </c>
      <c r="H299" s="2">
        <v>14</v>
      </c>
      <c r="I299" s="2">
        <v>96.2</v>
      </c>
      <c r="J299" s="2">
        <v>1.41</v>
      </c>
      <c r="K299" s="2">
        <v>0</v>
      </c>
      <c r="L299" s="2">
        <v>3.3</v>
      </c>
      <c r="M299" s="2">
        <v>763162.45</v>
      </c>
      <c r="N299" s="2">
        <v>162524.04999999999</v>
      </c>
    </row>
    <row r="300" spans="1:14">
      <c r="A300" s="2" t="s">
        <v>96</v>
      </c>
      <c r="B300" s="3">
        <v>45717</v>
      </c>
      <c r="C300" s="2" t="s">
        <v>27</v>
      </c>
      <c r="D300" s="2" t="s">
        <v>18</v>
      </c>
      <c r="E300" s="2">
        <v>46174.7</v>
      </c>
      <c r="F300" s="2">
        <v>4898</v>
      </c>
      <c r="G300" s="2">
        <v>0.114</v>
      </c>
      <c r="H300" s="2">
        <v>11</v>
      </c>
      <c r="I300" s="2">
        <v>91.7</v>
      </c>
      <c r="J300" s="2">
        <v>3.75</v>
      </c>
      <c r="K300" s="2">
        <v>0</v>
      </c>
      <c r="L300" s="2">
        <v>3.1</v>
      </c>
      <c r="M300" s="2">
        <v>599017.32999999996</v>
      </c>
      <c r="N300" s="2">
        <v>134009.92000000001</v>
      </c>
    </row>
    <row r="301" spans="1:14">
      <c r="A301" s="2" t="s">
        <v>96</v>
      </c>
      <c r="B301" s="3">
        <v>45748</v>
      </c>
      <c r="C301" s="2" t="s">
        <v>27</v>
      </c>
      <c r="D301" s="2" t="s">
        <v>18</v>
      </c>
      <c r="E301" s="2">
        <v>24362.98</v>
      </c>
      <c r="F301" s="2">
        <v>1462</v>
      </c>
      <c r="G301" s="2">
        <v>0.11700000000000001</v>
      </c>
      <c r="H301" s="2">
        <v>6</v>
      </c>
      <c r="I301" s="2">
        <v>89.3</v>
      </c>
      <c r="J301" s="2">
        <v>15.06</v>
      </c>
      <c r="K301" s="2">
        <v>0</v>
      </c>
      <c r="L301" s="2">
        <v>3.2</v>
      </c>
      <c r="M301" s="2">
        <v>401582.58</v>
      </c>
      <c r="N301" s="2">
        <v>68454.929999999993</v>
      </c>
    </row>
    <row r="302" spans="1:14">
      <c r="A302" s="2" t="s">
        <v>97</v>
      </c>
      <c r="B302" s="3">
        <v>45658</v>
      </c>
      <c r="C302" s="2" t="s">
        <v>20</v>
      </c>
      <c r="D302" s="2" t="s">
        <v>28</v>
      </c>
      <c r="E302" s="2">
        <v>40647.67</v>
      </c>
      <c r="F302" s="2">
        <v>8252</v>
      </c>
      <c r="G302" s="2">
        <v>0.14099999999999999</v>
      </c>
      <c r="H302" s="2">
        <v>22</v>
      </c>
      <c r="I302" s="2">
        <v>88.2</v>
      </c>
      <c r="J302" s="2">
        <v>5.07</v>
      </c>
      <c r="K302" s="2">
        <v>1</v>
      </c>
      <c r="L302" s="2">
        <v>4.0999999999999996</v>
      </c>
      <c r="M302" s="2">
        <v>703812.99</v>
      </c>
      <c r="N302" s="2">
        <v>133577.98000000001</v>
      </c>
    </row>
    <row r="303" spans="1:14">
      <c r="A303" s="2" t="s">
        <v>97</v>
      </c>
      <c r="B303" s="3">
        <v>45689</v>
      </c>
      <c r="C303" s="2" t="s">
        <v>20</v>
      </c>
      <c r="D303" s="2" t="s">
        <v>28</v>
      </c>
      <c r="E303" s="2">
        <v>63986.98</v>
      </c>
      <c r="F303" s="2">
        <v>7989</v>
      </c>
      <c r="G303" s="2">
        <v>7.3999999999999996E-2</v>
      </c>
      <c r="H303" s="2">
        <v>20</v>
      </c>
      <c r="I303" s="2">
        <v>83.3</v>
      </c>
      <c r="J303" s="2">
        <v>3.6</v>
      </c>
      <c r="K303" s="2">
        <v>0</v>
      </c>
      <c r="L303" s="2">
        <v>3.7</v>
      </c>
      <c r="M303" s="2">
        <v>724346.73</v>
      </c>
      <c r="N303" s="2">
        <v>155013.91</v>
      </c>
    </row>
    <row r="304" spans="1:14">
      <c r="A304" s="2" t="s">
        <v>97</v>
      </c>
      <c r="B304" s="3">
        <v>45717</v>
      </c>
      <c r="C304" s="2" t="s">
        <v>20</v>
      </c>
      <c r="D304" s="2" t="s">
        <v>28</v>
      </c>
      <c r="E304" s="2">
        <v>52843.75</v>
      </c>
      <c r="F304" s="2">
        <v>8268</v>
      </c>
      <c r="G304" s="2">
        <v>0.13800000000000001</v>
      </c>
      <c r="H304" s="2">
        <v>19</v>
      </c>
      <c r="I304" s="2">
        <v>87.3</v>
      </c>
      <c r="J304" s="2">
        <v>4.3899999999999997</v>
      </c>
      <c r="K304" s="2">
        <v>1</v>
      </c>
      <c r="L304" s="2">
        <v>4.7</v>
      </c>
      <c r="M304" s="2">
        <v>730890.01</v>
      </c>
      <c r="N304" s="2">
        <v>105502.56</v>
      </c>
    </row>
    <row r="305" spans="1:14">
      <c r="A305" s="2" t="s">
        <v>97</v>
      </c>
      <c r="B305" s="3">
        <v>45748</v>
      </c>
      <c r="C305" s="2" t="s">
        <v>20</v>
      </c>
      <c r="D305" s="2" t="s">
        <v>28</v>
      </c>
      <c r="E305" s="2">
        <v>31997.25</v>
      </c>
      <c r="F305" s="2">
        <v>8183</v>
      </c>
      <c r="G305" s="2">
        <v>0.19800000000000001</v>
      </c>
      <c r="H305" s="2">
        <v>18</v>
      </c>
      <c r="I305" s="2">
        <v>93</v>
      </c>
      <c r="J305" s="2">
        <v>2.79</v>
      </c>
      <c r="K305" s="2">
        <v>0</v>
      </c>
      <c r="L305" s="2">
        <v>4.2</v>
      </c>
      <c r="M305" s="2">
        <v>780580.95</v>
      </c>
      <c r="N305" s="2">
        <v>138144.46</v>
      </c>
    </row>
    <row r="306" spans="1:14">
      <c r="A306" s="2" t="s">
        <v>98</v>
      </c>
      <c r="B306" s="3">
        <v>45658</v>
      </c>
      <c r="C306" s="2" t="s">
        <v>24</v>
      </c>
      <c r="D306" s="2" t="s">
        <v>16</v>
      </c>
      <c r="E306" s="2">
        <v>54948.02</v>
      </c>
      <c r="F306" s="2">
        <v>6534</v>
      </c>
      <c r="G306" s="2">
        <v>0.183</v>
      </c>
      <c r="H306" s="2">
        <v>14</v>
      </c>
      <c r="I306" s="2">
        <v>94.5</v>
      </c>
      <c r="J306" s="2">
        <v>1.56</v>
      </c>
      <c r="K306" s="2">
        <v>0</v>
      </c>
      <c r="L306" s="2">
        <v>4</v>
      </c>
      <c r="M306" s="2">
        <v>727957.48</v>
      </c>
      <c r="N306" s="2">
        <v>74805.23</v>
      </c>
    </row>
    <row r="307" spans="1:14">
      <c r="A307" s="2" t="s">
        <v>98</v>
      </c>
      <c r="B307" s="3">
        <v>45689</v>
      </c>
      <c r="C307" s="2" t="s">
        <v>24</v>
      </c>
      <c r="D307" s="2" t="s">
        <v>16</v>
      </c>
      <c r="E307" s="2">
        <v>46146.239999999998</v>
      </c>
      <c r="F307" s="2">
        <v>5804</v>
      </c>
      <c r="G307" s="2">
        <v>4.7E-2</v>
      </c>
      <c r="H307" s="2">
        <v>16</v>
      </c>
      <c r="I307" s="2">
        <v>86.9</v>
      </c>
      <c r="J307" s="2">
        <v>15.82</v>
      </c>
      <c r="K307" s="2">
        <v>0</v>
      </c>
      <c r="L307" s="2">
        <v>3.8</v>
      </c>
      <c r="M307" s="2">
        <v>538376</v>
      </c>
      <c r="N307" s="2">
        <v>87605.62</v>
      </c>
    </row>
    <row r="308" spans="1:14">
      <c r="A308" s="2" t="s">
        <v>98</v>
      </c>
      <c r="B308" s="3">
        <v>45717</v>
      </c>
      <c r="C308" s="2" t="s">
        <v>24</v>
      </c>
      <c r="D308" s="2" t="s">
        <v>16</v>
      </c>
      <c r="E308" s="2">
        <v>22387.26</v>
      </c>
      <c r="F308" s="2">
        <v>6301</v>
      </c>
      <c r="G308" s="2">
        <v>0.14599999999999999</v>
      </c>
      <c r="H308" s="2">
        <v>14</v>
      </c>
      <c r="I308" s="2">
        <v>85.9</v>
      </c>
      <c r="J308" s="2">
        <v>1.17</v>
      </c>
      <c r="K308" s="2">
        <v>1</v>
      </c>
      <c r="L308" s="2">
        <v>3.7</v>
      </c>
      <c r="M308" s="2">
        <v>665342.49</v>
      </c>
      <c r="N308" s="2">
        <v>93441.81</v>
      </c>
    </row>
    <row r="309" spans="1:14">
      <c r="A309" s="2" t="s">
        <v>98</v>
      </c>
      <c r="B309" s="3">
        <v>45748</v>
      </c>
      <c r="C309" s="2" t="s">
        <v>24</v>
      </c>
      <c r="D309" s="2" t="s">
        <v>16</v>
      </c>
      <c r="E309" s="2">
        <v>60684.05</v>
      </c>
      <c r="F309" s="2">
        <v>6399</v>
      </c>
      <c r="G309" s="2">
        <v>7.4999999999999997E-2</v>
      </c>
      <c r="H309" s="2">
        <v>16</v>
      </c>
      <c r="I309" s="2">
        <v>99</v>
      </c>
      <c r="J309" s="2">
        <v>3.82</v>
      </c>
      <c r="K309" s="2">
        <v>0</v>
      </c>
      <c r="L309" s="2">
        <v>3.5</v>
      </c>
      <c r="M309" s="2">
        <v>651164.18000000005</v>
      </c>
      <c r="N309" s="2">
        <v>109466.5</v>
      </c>
    </row>
    <row r="310" spans="1:14">
      <c r="A310" s="2" t="s">
        <v>99</v>
      </c>
      <c r="B310" s="3">
        <v>45658</v>
      </c>
      <c r="C310" s="2" t="s">
        <v>24</v>
      </c>
      <c r="D310" s="2" t="s">
        <v>18</v>
      </c>
      <c r="E310" s="2">
        <v>48465.599999999999</v>
      </c>
      <c r="F310" s="2">
        <v>5759</v>
      </c>
      <c r="G310" s="2">
        <v>0.154</v>
      </c>
      <c r="H310" s="2">
        <v>13</v>
      </c>
      <c r="I310" s="2">
        <v>87.5</v>
      </c>
      <c r="J310" s="2">
        <v>4.1399999999999997</v>
      </c>
      <c r="K310" s="2">
        <v>0</v>
      </c>
      <c r="L310" s="2">
        <v>4</v>
      </c>
      <c r="M310" s="2">
        <v>628538.30000000005</v>
      </c>
      <c r="N310" s="2">
        <v>112509.15</v>
      </c>
    </row>
    <row r="311" spans="1:14">
      <c r="A311" s="2" t="s">
        <v>99</v>
      </c>
      <c r="B311" s="3">
        <v>45689</v>
      </c>
      <c r="C311" s="2" t="s">
        <v>24</v>
      </c>
      <c r="D311" s="2" t="s">
        <v>18</v>
      </c>
      <c r="E311" s="2">
        <v>23702.38</v>
      </c>
      <c r="F311" s="2">
        <v>5285</v>
      </c>
      <c r="G311" s="2">
        <v>0.16700000000000001</v>
      </c>
      <c r="H311" s="2">
        <v>14</v>
      </c>
      <c r="I311" s="2">
        <v>79.7</v>
      </c>
      <c r="J311" s="2">
        <v>1.1000000000000001</v>
      </c>
      <c r="K311" s="2">
        <v>0</v>
      </c>
      <c r="L311" s="2">
        <v>4.3</v>
      </c>
      <c r="M311" s="2">
        <v>536524.84</v>
      </c>
      <c r="N311" s="2">
        <v>92752.94</v>
      </c>
    </row>
    <row r="312" spans="1:14">
      <c r="A312" s="2" t="s">
        <v>99</v>
      </c>
      <c r="B312" s="3">
        <v>45717</v>
      </c>
      <c r="C312" s="2" t="s">
        <v>24</v>
      </c>
      <c r="D312" s="2" t="s">
        <v>18</v>
      </c>
      <c r="E312" s="2">
        <v>54322.94</v>
      </c>
      <c r="F312" s="2">
        <v>5434</v>
      </c>
      <c r="G312" s="2">
        <v>0.2</v>
      </c>
      <c r="H312" s="2">
        <v>13</v>
      </c>
      <c r="I312" s="2">
        <v>85.7</v>
      </c>
      <c r="J312" s="2">
        <v>10.6</v>
      </c>
      <c r="K312" s="2">
        <v>0</v>
      </c>
      <c r="L312" s="2">
        <v>4.2</v>
      </c>
      <c r="M312" s="2">
        <v>621677.30000000005</v>
      </c>
      <c r="N312" s="2">
        <v>105192.52</v>
      </c>
    </row>
    <row r="313" spans="1:14">
      <c r="A313" s="2" t="s">
        <v>99</v>
      </c>
      <c r="B313" s="3">
        <v>45748</v>
      </c>
      <c r="C313" s="2" t="s">
        <v>24</v>
      </c>
      <c r="D313" s="2" t="s">
        <v>18</v>
      </c>
      <c r="E313" s="2">
        <v>86026.58</v>
      </c>
      <c r="F313" s="2">
        <v>7479</v>
      </c>
      <c r="G313" s="2">
        <v>0.14199999999999999</v>
      </c>
      <c r="H313" s="2">
        <v>20</v>
      </c>
      <c r="I313" s="2">
        <v>89</v>
      </c>
      <c r="J313" s="2">
        <v>0.9</v>
      </c>
      <c r="K313" s="2">
        <v>0</v>
      </c>
      <c r="L313" s="4">
        <v>3.9</v>
      </c>
      <c r="M313" s="2">
        <v>771129.07</v>
      </c>
      <c r="N313" s="2">
        <v>116851.13</v>
      </c>
    </row>
    <row r="314" spans="1:14">
      <c r="A314" s="2" t="s">
        <v>100</v>
      </c>
      <c r="B314" s="3">
        <v>45658</v>
      </c>
      <c r="C314" s="2" t="s">
        <v>20</v>
      </c>
      <c r="D314" s="2" t="s">
        <v>16</v>
      </c>
      <c r="E314" s="2">
        <v>78967.520000000004</v>
      </c>
      <c r="F314" s="2">
        <v>6164</v>
      </c>
      <c r="G314" s="2">
        <v>2.1000000000000001E-2</v>
      </c>
      <c r="H314" s="2">
        <v>16</v>
      </c>
      <c r="I314" s="2">
        <v>85.5</v>
      </c>
      <c r="J314" s="2">
        <v>0.2</v>
      </c>
      <c r="K314" s="2">
        <v>0</v>
      </c>
      <c r="L314" s="2">
        <v>3.4</v>
      </c>
      <c r="M314" s="2">
        <v>702052.47</v>
      </c>
      <c r="N314" s="2">
        <v>121732.51</v>
      </c>
    </row>
    <row r="315" spans="1:14">
      <c r="A315" s="2" t="s">
        <v>100</v>
      </c>
      <c r="B315" s="3">
        <v>45689</v>
      </c>
      <c r="C315" s="2" t="s">
        <v>20</v>
      </c>
      <c r="D315" s="2" t="s">
        <v>16</v>
      </c>
      <c r="E315" s="2">
        <v>46767.99</v>
      </c>
      <c r="F315" s="2">
        <v>7973</v>
      </c>
      <c r="G315" s="2">
        <v>0.183</v>
      </c>
      <c r="H315" s="2">
        <v>18</v>
      </c>
      <c r="I315" s="2">
        <v>94.8</v>
      </c>
      <c r="J315" s="2">
        <v>4.67</v>
      </c>
      <c r="K315" s="2">
        <v>0</v>
      </c>
      <c r="L315" s="4">
        <v>3.9</v>
      </c>
      <c r="M315" s="2">
        <v>688368.46</v>
      </c>
      <c r="N315" s="2">
        <v>93588.42</v>
      </c>
    </row>
    <row r="316" spans="1:14">
      <c r="A316" s="2" t="s">
        <v>100</v>
      </c>
      <c r="B316" s="3">
        <v>45717</v>
      </c>
      <c r="C316" s="2" t="s">
        <v>20</v>
      </c>
      <c r="D316" s="2" t="s">
        <v>16</v>
      </c>
      <c r="E316" s="2">
        <v>62507.16</v>
      </c>
      <c r="F316" s="2">
        <v>6000</v>
      </c>
      <c r="G316" s="2">
        <v>9.0999999999999998E-2</v>
      </c>
      <c r="H316" s="2">
        <v>14</v>
      </c>
      <c r="I316" s="2">
        <v>98.2</v>
      </c>
      <c r="J316" s="2">
        <v>4.38</v>
      </c>
      <c r="K316" s="2">
        <v>1</v>
      </c>
      <c r="L316" s="2">
        <v>3.9</v>
      </c>
      <c r="M316" s="2">
        <v>712375.77</v>
      </c>
      <c r="N316" s="2">
        <v>104171.53</v>
      </c>
    </row>
    <row r="317" spans="1:14">
      <c r="A317" s="2" t="s">
        <v>100</v>
      </c>
      <c r="B317" s="3">
        <v>45748</v>
      </c>
      <c r="C317" s="2" t="s">
        <v>20</v>
      </c>
      <c r="D317" s="2" t="s">
        <v>16</v>
      </c>
      <c r="E317" s="2">
        <v>66456.28</v>
      </c>
      <c r="F317" s="2">
        <v>9967</v>
      </c>
      <c r="G317" s="2">
        <v>0.108</v>
      </c>
      <c r="H317" s="2">
        <v>20</v>
      </c>
      <c r="I317" s="2">
        <v>94.7</v>
      </c>
      <c r="J317" s="2">
        <v>4.4800000000000004</v>
      </c>
      <c r="K317" s="2">
        <v>0</v>
      </c>
      <c r="L317" s="2">
        <v>4.2</v>
      </c>
      <c r="M317" s="2">
        <v>844710.67</v>
      </c>
      <c r="N317" s="2">
        <v>137140.18</v>
      </c>
    </row>
    <row r="318" spans="1:14">
      <c r="A318" s="2" t="s">
        <v>101</v>
      </c>
      <c r="B318" s="3">
        <v>45658</v>
      </c>
      <c r="C318" s="2" t="s">
        <v>15</v>
      </c>
      <c r="D318" s="2" t="s">
        <v>16</v>
      </c>
      <c r="E318" s="2">
        <v>76614.320000000007</v>
      </c>
      <c r="F318" s="2">
        <v>5639</v>
      </c>
      <c r="G318" s="2">
        <v>0.17399999999999999</v>
      </c>
      <c r="H318" s="2">
        <v>15</v>
      </c>
      <c r="I318" s="2">
        <v>92.9</v>
      </c>
      <c r="J318" s="2">
        <v>1.02</v>
      </c>
      <c r="K318" s="2">
        <v>1</v>
      </c>
      <c r="L318" s="2">
        <v>4</v>
      </c>
      <c r="M318" s="2">
        <v>620264.19999999995</v>
      </c>
      <c r="N318" s="2">
        <v>91365.64</v>
      </c>
    </row>
    <row r="319" spans="1:14">
      <c r="A319" s="2" t="s">
        <v>101</v>
      </c>
      <c r="B319" s="3">
        <v>45689</v>
      </c>
      <c r="C319" s="2" t="s">
        <v>15</v>
      </c>
      <c r="D319" s="2" t="s">
        <v>16</v>
      </c>
      <c r="E319" s="2">
        <v>24088.06</v>
      </c>
      <c r="F319" s="2">
        <v>3466</v>
      </c>
      <c r="G319" s="2">
        <v>0</v>
      </c>
      <c r="H319" s="2">
        <v>11</v>
      </c>
      <c r="I319" s="2">
        <v>88</v>
      </c>
      <c r="J319" s="2">
        <v>0.2</v>
      </c>
      <c r="K319" s="2">
        <v>0</v>
      </c>
      <c r="L319" s="2">
        <v>3.8</v>
      </c>
      <c r="M319" s="2">
        <v>536845.42000000004</v>
      </c>
      <c r="N319" s="2">
        <v>107473.75</v>
      </c>
    </row>
    <row r="320" spans="1:14">
      <c r="A320" s="2" t="s">
        <v>101</v>
      </c>
      <c r="B320" s="3">
        <v>45717</v>
      </c>
      <c r="C320" s="2" t="s">
        <v>15</v>
      </c>
      <c r="D320" s="2" t="s">
        <v>16</v>
      </c>
      <c r="E320" s="2">
        <v>81902.58</v>
      </c>
      <c r="F320" s="2">
        <v>7775</v>
      </c>
      <c r="G320" s="2">
        <v>0.215</v>
      </c>
      <c r="H320" s="2">
        <v>20</v>
      </c>
      <c r="I320" s="2">
        <v>85.2</v>
      </c>
      <c r="J320" s="2">
        <v>4.8899999999999997</v>
      </c>
      <c r="K320" s="2">
        <v>1</v>
      </c>
      <c r="L320" s="2">
        <v>4.2</v>
      </c>
      <c r="M320" s="2">
        <v>726776.22</v>
      </c>
      <c r="N320" s="2">
        <v>90804.49</v>
      </c>
    </row>
    <row r="321" spans="1:14">
      <c r="A321" s="2" t="s">
        <v>101</v>
      </c>
      <c r="B321" s="3">
        <v>45748</v>
      </c>
      <c r="C321" s="2" t="s">
        <v>15</v>
      </c>
      <c r="D321" s="2" t="s">
        <v>16</v>
      </c>
      <c r="E321" s="2">
        <v>40553.11</v>
      </c>
      <c r="F321" s="2">
        <v>5317</v>
      </c>
      <c r="G321" s="2">
        <v>0.16500000000000001</v>
      </c>
      <c r="H321" s="2">
        <v>17</v>
      </c>
      <c r="I321" s="2">
        <v>84.3</v>
      </c>
      <c r="J321" s="2">
        <v>11.82</v>
      </c>
      <c r="K321" s="2">
        <v>0</v>
      </c>
      <c r="L321" s="2">
        <v>4.0999999999999996</v>
      </c>
      <c r="M321" s="2">
        <v>559660.84</v>
      </c>
      <c r="N321" s="2">
        <v>71443.61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321"/>
  <sheetViews>
    <sheetView topLeftCell="B1" zoomScale="85" zoomScaleNormal="85" workbookViewId="0">
      <pane ySplit="1" topLeftCell="A2" activePane="bottomLeft" state="frozen"/>
      <selection pane="bottomLeft" activeCell="U2" sqref="A1:V321"/>
    </sheetView>
  </sheetViews>
  <sheetFormatPr defaultColWidth="12.625" defaultRowHeight="15" customHeight="1"/>
  <sheetData>
    <row r="1" spans="1:22" s="14" customFormat="1" ht="35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102</v>
      </c>
      <c r="N1" s="11" t="s">
        <v>103</v>
      </c>
      <c r="O1" s="11" t="s">
        <v>104</v>
      </c>
      <c r="P1" s="13" t="s">
        <v>105</v>
      </c>
      <c r="Q1" s="13" t="s">
        <v>106</v>
      </c>
      <c r="R1" s="13" t="s">
        <v>107</v>
      </c>
      <c r="S1" s="1" t="s">
        <v>13</v>
      </c>
      <c r="T1" s="1" t="s">
        <v>12</v>
      </c>
      <c r="U1" s="14" t="s">
        <v>132</v>
      </c>
      <c r="V1" t="s">
        <v>117</v>
      </c>
    </row>
    <row r="2" spans="1:22" ht="14.25">
      <c r="A2" s="2" t="s">
        <v>14</v>
      </c>
      <c r="B2" s="3">
        <v>45658</v>
      </c>
      <c r="C2" s="2" t="s">
        <v>15</v>
      </c>
      <c r="D2" s="2" t="s">
        <v>16</v>
      </c>
      <c r="E2" s="2">
        <v>70389.11</v>
      </c>
      <c r="F2" s="2">
        <v>8302</v>
      </c>
      <c r="G2" s="2">
        <v>4.2000000000000003E-2</v>
      </c>
      <c r="H2" s="2">
        <v>17</v>
      </c>
      <c r="I2" s="2">
        <v>75</v>
      </c>
      <c r="J2" s="2">
        <v>5.28</v>
      </c>
      <c r="K2" s="2">
        <v>1</v>
      </c>
      <c r="L2" s="2">
        <v>3.1</v>
      </c>
      <c r="M2" s="5">
        <f t="shared" ref="M2:M321" si="0">IF(C2="North",1,0)</f>
        <v>0</v>
      </c>
      <c r="N2" s="5">
        <f t="shared" ref="N2:N321" si="1">IF(C2="South",1,0)</f>
        <v>0</v>
      </c>
      <c r="O2" s="5">
        <f t="shared" ref="O2:O321" si="2">IF(C2="East",1,0)</f>
        <v>1</v>
      </c>
      <c r="P2" s="5">
        <f t="shared" ref="P2:P321" si="3">IF(D2="Mall",1,0)</f>
        <v>0</v>
      </c>
      <c r="Q2" s="5">
        <f t="shared" ref="Q2:Q321" si="4">IF(D2="High Street",1,0)</f>
        <v>0</v>
      </c>
      <c r="R2" s="5">
        <f t="shared" ref="R2:R321" si="5">IF(D2="Airport",1,0)</f>
        <v>0</v>
      </c>
      <c r="S2" s="2">
        <v>84349.93</v>
      </c>
      <c r="T2" s="2">
        <v>658832.62</v>
      </c>
      <c r="U2" s="12">
        <f>66915.46892
+(1.209928492*E2)
+(27.33619482*F2)
+(-41243.14883*G2)
+(3508.399163*H2)
+(3062.210286*I2)
+(-3438.10791*J2)
+(15157.28728*K2)
+(12509.46131*L2)
+(-15342.70531*M2)
+(-4201.853217*N2)
+(-25291.41891*O2)
+(32832.85351*P2)
+(20219.25907*Q2)
+(44695.0949*R2)</f>
        <v>677094.68166750204</v>
      </c>
      <c r="V2">
        <f>T2-U2</f>
        <v>-18262.061667502043</v>
      </c>
    </row>
    <row r="3" spans="1:22" ht="14.25">
      <c r="A3" s="2" t="s">
        <v>14</v>
      </c>
      <c r="B3" s="3">
        <v>45689</v>
      </c>
      <c r="C3" s="2" t="s">
        <v>15</v>
      </c>
      <c r="D3" s="2" t="s">
        <v>16</v>
      </c>
      <c r="E3" s="2">
        <v>43827.89</v>
      </c>
      <c r="F3" s="2">
        <v>8487</v>
      </c>
      <c r="G3" s="2">
        <v>0.16800000000000001</v>
      </c>
      <c r="H3" s="2">
        <v>23</v>
      </c>
      <c r="I3" s="2">
        <v>84.4</v>
      </c>
      <c r="J3" s="2">
        <v>4.3099999999999996</v>
      </c>
      <c r="K3" s="2">
        <v>0</v>
      </c>
      <c r="L3" s="2">
        <v>2.8</v>
      </c>
      <c r="M3" s="5">
        <f t="shared" si="0"/>
        <v>0</v>
      </c>
      <c r="N3" s="5">
        <f t="shared" si="1"/>
        <v>0</v>
      </c>
      <c r="O3" s="5">
        <f t="shared" si="2"/>
        <v>1</v>
      </c>
      <c r="P3" s="5">
        <f t="shared" si="3"/>
        <v>0</v>
      </c>
      <c r="Q3" s="5">
        <f t="shared" si="4"/>
        <v>0</v>
      </c>
      <c r="R3" s="5">
        <f t="shared" si="5"/>
        <v>0</v>
      </c>
      <c r="S3" s="2">
        <v>106130.54</v>
      </c>
      <c r="T3" s="2">
        <v>634436</v>
      </c>
      <c r="U3" s="12">
        <f t="shared" ref="U3:U66" si="6">66915.46892
+(1.209928492*E3)
+(27.33619482*F3)
+(-41243.14883*G3)
+(3508.399163*H3)
+(3062.210286*I3)
+(-3438.10791*J3)
+(15157.28728*K3)
+(12509.46131*L3)
+(-15342.70531*M3)
+(-4201.853217*N3)
+(-25291.41891*O3)
+(32832.85351*P3)
+(20219.25907*Q3)
+(44695.0949*R3)</f>
        <v>679078.07476244192</v>
      </c>
      <c r="V3">
        <f t="shared" ref="V3:V66" si="7">T3-U3</f>
        <v>-44642.074762441916</v>
      </c>
    </row>
    <row r="4" spans="1:22" ht="14.25">
      <c r="A4" s="2" t="s">
        <v>14</v>
      </c>
      <c r="B4" s="3">
        <v>45717</v>
      </c>
      <c r="C4" s="2" t="s">
        <v>15</v>
      </c>
      <c r="D4" s="2" t="s">
        <v>16</v>
      </c>
      <c r="E4" s="2">
        <v>59921.75</v>
      </c>
      <c r="F4" s="2">
        <v>9113</v>
      </c>
      <c r="G4" s="2">
        <v>0.13300000000000001</v>
      </c>
      <c r="H4" s="2">
        <v>20</v>
      </c>
      <c r="I4" s="2">
        <v>88</v>
      </c>
      <c r="J4" s="2">
        <v>12</v>
      </c>
      <c r="K4" s="2">
        <v>0</v>
      </c>
      <c r="L4" s="2">
        <v>3.2</v>
      </c>
      <c r="M4" s="5">
        <f t="shared" si="0"/>
        <v>0</v>
      </c>
      <c r="N4" s="5">
        <f t="shared" si="1"/>
        <v>0</v>
      </c>
      <c r="O4" s="5">
        <f t="shared" si="2"/>
        <v>1</v>
      </c>
      <c r="P4" s="5">
        <f t="shared" si="3"/>
        <v>0</v>
      </c>
      <c r="Q4" s="5">
        <f t="shared" si="4"/>
        <v>0</v>
      </c>
      <c r="R4" s="5">
        <f t="shared" si="5"/>
        <v>0</v>
      </c>
      <c r="S4" s="2">
        <v>101883.86</v>
      </c>
      <c r="T4" s="2">
        <v>678722.06</v>
      </c>
      <c r="U4" s="12">
        <f t="shared" si="6"/>
        <v>696169.95692577108</v>
      </c>
      <c r="V4">
        <f t="shared" si="7"/>
        <v>-17447.896925771027</v>
      </c>
    </row>
    <row r="5" spans="1:22" ht="14.25">
      <c r="A5" s="2" t="s">
        <v>14</v>
      </c>
      <c r="B5" s="3">
        <v>45748</v>
      </c>
      <c r="C5" s="2" t="s">
        <v>15</v>
      </c>
      <c r="D5" s="2" t="s">
        <v>16</v>
      </c>
      <c r="E5" s="2">
        <v>56856.63</v>
      </c>
      <c r="F5" s="2">
        <v>9431</v>
      </c>
      <c r="G5" s="2">
        <v>0.14199999999999999</v>
      </c>
      <c r="H5" s="2">
        <v>23</v>
      </c>
      <c r="I5" s="2">
        <v>86.9</v>
      </c>
      <c r="J5" s="2">
        <v>4.97</v>
      </c>
      <c r="K5" s="2">
        <v>0</v>
      </c>
      <c r="L5" s="2">
        <v>3.4</v>
      </c>
      <c r="M5" s="5">
        <f t="shared" si="0"/>
        <v>0</v>
      </c>
      <c r="N5" s="5">
        <f t="shared" si="1"/>
        <v>0</v>
      </c>
      <c r="O5" s="5">
        <f t="shared" si="2"/>
        <v>1</v>
      </c>
      <c r="P5" s="5">
        <f t="shared" si="3"/>
        <v>0</v>
      </c>
      <c r="Q5" s="5">
        <f t="shared" si="4"/>
        <v>0</v>
      </c>
      <c r="R5" s="5">
        <f t="shared" si="5"/>
        <v>0</v>
      </c>
      <c r="S5" s="2">
        <v>97910.37</v>
      </c>
      <c r="T5" s="2">
        <v>658920.30000000005</v>
      </c>
      <c r="U5" s="12">
        <f t="shared" si="6"/>
        <v>734611.65956336202</v>
      </c>
      <c r="V5">
        <f t="shared" si="7"/>
        <v>-75691.35956336197</v>
      </c>
    </row>
    <row r="6" spans="1:22" ht="14.25">
      <c r="A6" s="2" t="s">
        <v>17</v>
      </c>
      <c r="B6" s="3">
        <v>45658</v>
      </c>
      <c r="C6" s="2" t="s">
        <v>15</v>
      </c>
      <c r="D6" s="2" t="s">
        <v>18</v>
      </c>
      <c r="E6" s="2">
        <v>48412.639999999999</v>
      </c>
      <c r="F6" s="2">
        <v>9545</v>
      </c>
      <c r="G6" s="2">
        <v>0.23100000000000001</v>
      </c>
      <c r="H6" s="2">
        <v>21</v>
      </c>
      <c r="I6" s="2">
        <v>97.6</v>
      </c>
      <c r="J6" s="2">
        <v>6.94</v>
      </c>
      <c r="K6" s="2">
        <v>1</v>
      </c>
      <c r="L6" s="2">
        <v>4.2</v>
      </c>
      <c r="M6" s="5">
        <f t="shared" si="0"/>
        <v>0</v>
      </c>
      <c r="N6" s="5">
        <f t="shared" si="1"/>
        <v>0</v>
      </c>
      <c r="O6" s="5">
        <f t="shared" si="2"/>
        <v>1</v>
      </c>
      <c r="P6" s="5">
        <f t="shared" si="3"/>
        <v>0</v>
      </c>
      <c r="Q6" s="5">
        <f t="shared" si="4"/>
        <v>1</v>
      </c>
      <c r="R6" s="5">
        <f t="shared" si="5"/>
        <v>0</v>
      </c>
      <c r="S6" s="2">
        <v>119208.17</v>
      </c>
      <c r="T6" s="2">
        <v>741341.44</v>
      </c>
      <c r="U6" s="12">
        <f t="shared" si="6"/>
        <v>788200.61598930892</v>
      </c>
      <c r="V6">
        <f t="shared" si="7"/>
        <v>-46859.175989308977</v>
      </c>
    </row>
    <row r="7" spans="1:22" ht="14.25">
      <c r="A7" s="2" t="s">
        <v>17</v>
      </c>
      <c r="B7" s="3">
        <v>45689</v>
      </c>
      <c r="C7" s="2" t="s">
        <v>15</v>
      </c>
      <c r="D7" s="2" t="s">
        <v>18</v>
      </c>
      <c r="E7" s="2">
        <v>64811.21</v>
      </c>
      <c r="F7" s="2">
        <v>9792</v>
      </c>
      <c r="G7" s="2">
        <v>0.112</v>
      </c>
      <c r="H7" s="2">
        <v>20</v>
      </c>
      <c r="I7" s="2">
        <v>84.2</v>
      </c>
      <c r="J7" s="2">
        <v>2.88</v>
      </c>
      <c r="K7" s="2">
        <v>0</v>
      </c>
      <c r="L7" s="2">
        <v>4.2</v>
      </c>
      <c r="M7" s="5">
        <f t="shared" si="0"/>
        <v>0</v>
      </c>
      <c r="N7" s="5">
        <f t="shared" si="1"/>
        <v>0</v>
      </c>
      <c r="O7" s="5">
        <f t="shared" si="2"/>
        <v>1</v>
      </c>
      <c r="P7" s="5">
        <f t="shared" si="3"/>
        <v>0</v>
      </c>
      <c r="Q7" s="5">
        <f t="shared" si="4"/>
        <v>1</v>
      </c>
      <c r="R7" s="5">
        <f t="shared" si="5"/>
        <v>0</v>
      </c>
      <c r="S7" s="2">
        <v>149602.23000000001</v>
      </c>
      <c r="T7" s="2">
        <v>761835.34</v>
      </c>
      <c r="U7" s="12">
        <f t="shared" si="6"/>
        <v>773961.10173087532</v>
      </c>
      <c r="V7">
        <f t="shared" si="7"/>
        <v>-12125.761730875354</v>
      </c>
    </row>
    <row r="8" spans="1:22" ht="14.25">
      <c r="A8" s="2" t="s">
        <v>17</v>
      </c>
      <c r="B8" s="3">
        <v>45717</v>
      </c>
      <c r="C8" s="2" t="s">
        <v>15</v>
      </c>
      <c r="D8" s="2" t="s">
        <v>18</v>
      </c>
      <c r="E8" s="2">
        <v>46213.45</v>
      </c>
      <c r="F8" s="2">
        <v>10616</v>
      </c>
      <c r="G8" s="2">
        <v>0.122</v>
      </c>
      <c r="H8" s="2">
        <v>22</v>
      </c>
      <c r="I8" s="2">
        <v>85.2</v>
      </c>
      <c r="J8" s="2">
        <v>0.2</v>
      </c>
      <c r="K8" s="2">
        <v>1</v>
      </c>
      <c r="L8" s="2">
        <v>4.0999999999999996</v>
      </c>
      <c r="M8" s="5">
        <f t="shared" si="0"/>
        <v>0</v>
      </c>
      <c r="N8" s="5">
        <f t="shared" si="1"/>
        <v>0</v>
      </c>
      <c r="O8" s="5">
        <f t="shared" si="2"/>
        <v>1</v>
      </c>
      <c r="P8" s="5">
        <f t="shared" si="3"/>
        <v>0</v>
      </c>
      <c r="Q8" s="5">
        <f t="shared" si="4"/>
        <v>1</v>
      </c>
      <c r="R8" s="5">
        <f t="shared" si="5"/>
        <v>0</v>
      </c>
      <c r="S8" s="2">
        <v>131364.62</v>
      </c>
      <c r="T8" s="2">
        <v>806615.54</v>
      </c>
      <c r="U8" s="12">
        <f t="shared" si="6"/>
        <v>806771.21402267739</v>
      </c>
      <c r="V8">
        <f t="shared" si="7"/>
        <v>-155.67402267735451</v>
      </c>
    </row>
    <row r="9" spans="1:22" ht="14.25">
      <c r="A9" s="2" t="s">
        <v>17</v>
      </c>
      <c r="B9" s="3">
        <v>45748</v>
      </c>
      <c r="C9" s="2" t="s">
        <v>15</v>
      </c>
      <c r="D9" s="2" t="s">
        <v>18</v>
      </c>
      <c r="E9" s="2">
        <v>68148.52</v>
      </c>
      <c r="F9" s="2">
        <v>8567</v>
      </c>
      <c r="G9" s="2">
        <v>0.127</v>
      </c>
      <c r="H9" s="2">
        <v>23</v>
      </c>
      <c r="I9" s="2">
        <v>95.6</v>
      </c>
      <c r="J9" s="2">
        <v>0.8</v>
      </c>
      <c r="K9" s="2">
        <v>0</v>
      </c>
      <c r="L9" s="2">
        <v>3.9</v>
      </c>
      <c r="M9" s="5">
        <f t="shared" si="0"/>
        <v>0</v>
      </c>
      <c r="N9" s="5">
        <f t="shared" si="1"/>
        <v>0</v>
      </c>
      <c r="O9" s="5">
        <f t="shared" si="2"/>
        <v>1</v>
      </c>
      <c r="P9" s="5">
        <f t="shared" si="3"/>
        <v>0</v>
      </c>
      <c r="Q9" s="5">
        <f t="shared" si="4"/>
        <v>1</v>
      </c>
      <c r="R9" s="5">
        <f t="shared" si="5"/>
        <v>0</v>
      </c>
      <c r="S9" s="2">
        <v>149262.75</v>
      </c>
      <c r="T9" s="2">
        <v>850164.26</v>
      </c>
      <c r="U9" s="12">
        <f t="shared" si="6"/>
        <v>792726.34310876182</v>
      </c>
      <c r="V9">
        <f t="shared" si="7"/>
        <v>57437.916891238187</v>
      </c>
    </row>
    <row r="10" spans="1:22" ht="14.25">
      <c r="A10" s="2" t="s">
        <v>19</v>
      </c>
      <c r="B10" s="3">
        <v>45658</v>
      </c>
      <c r="C10" s="2" t="s">
        <v>20</v>
      </c>
      <c r="D10" s="2" t="s">
        <v>21</v>
      </c>
      <c r="E10" s="2">
        <v>71838.86</v>
      </c>
      <c r="F10" s="2">
        <v>10979</v>
      </c>
      <c r="G10" s="2">
        <v>0.215</v>
      </c>
      <c r="H10" s="2">
        <v>26</v>
      </c>
      <c r="I10" s="2">
        <v>88.6</v>
      </c>
      <c r="J10" s="2">
        <v>7.7</v>
      </c>
      <c r="K10" s="2">
        <v>1</v>
      </c>
      <c r="L10" s="2">
        <v>3.8</v>
      </c>
      <c r="M10" s="5">
        <f t="shared" si="0"/>
        <v>1</v>
      </c>
      <c r="N10" s="5">
        <f t="shared" si="1"/>
        <v>0</v>
      </c>
      <c r="O10" s="5">
        <f t="shared" si="2"/>
        <v>0</v>
      </c>
      <c r="P10" s="5">
        <f t="shared" si="3"/>
        <v>0</v>
      </c>
      <c r="Q10" s="5">
        <f t="shared" si="4"/>
        <v>0</v>
      </c>
      <c r="R10" s="5">
        <f t="shared" si="5"/>
        <v>1</v>
      </c>
      <c r="S10" s="2">
        <v>136207.98000000001</v>
      </c>
      <c r="T10" s="2">
        <v>930581.7</v>
      </c>
      <c r="U10" s="12">
        <f t="shared" si="6"/>
        <v>873194.5669157292</v>
      </c>
      <c r="V10">
        <f t="shared" si="7"/>
        <v>57387.133084270754</v>
      </c>
    </row>
    <row r="11" spans="1:22" ht="14.25">
      <c r="A11" s="2" t="s">
        <v>19</v>
      </c>
      <c r="B11" s="3">
        <v>45689</v>
      </c>
      <c r="C11" s="2" t="s">
        <v>20</v>
      </c>
      <c r="D11" s="2" t="s">
        <v>21</v>
      </c>
      <c r="E11" s="2">
        <v>68133.440000000002</v>
      </c>
      <c r="F11" s="2">
        <v>9459</v>
      </c>
      <c r="G11" s="2">
        <v>0.22</v>
      </c>
      <c r="H11" s="2">
        <v>21</v>
      </c>
      <c r="I11" s="2">
        <v>85</v>
      </c>
      <c r="J11" s="2">
        <v>1.91</v>
      </c>
      <c r="K11" s="2">
        <v>0</v>
      </c>
      <c r="L11" s="2">
        <v>4.2</v>
      </c>
      <c r="M11" s="5">
        <f t="shared" si="0"/>
        <v>1</v>
      </c>
      <c r="N11" s="5">
        <f t="shared" si="1"/>
        <v>0</v>
      </c>
      <c r="O11" s="5">
        <f t="shared" si="2"/>
        <v>0</v>
      </c>
      <c r="P11" s="5">
        <f t="shared" si="3"/>
        <v>0</v>
      </c>
      <c r="Q11" s="5">
        <f t="shared" si="4"/>
        <v>0</v>
      </c>
      <c r="R11" s="5">
        <f t="shared" si="5"/>
        <v>1</v>
      </c>
      <c r="S11" s="2">
        <v>106328.09</v>
      </c>
      <c r="T11" s="2">
        <v>779010.94</v>
      </c>
      <c r="U11" s="12">
        <f t="shared" si="6"/>
        <v>808141.23101065261</v>
      </c>
      <c r="V11">
        <f t="shared" si="7"/>
        <v>-29130.291010652669</v>
      </c>
    </row>
    <row r="12" spans="1:22" ht="14.25">
      <c r="A12" s="2" t="s">
        <v>19</v>
      </c>
      <c r="B12" s="3">
        <v>45717</v>
      </c>
      <c r="C12" s="2" t="s">
        <v>20</v>
      </c>
      <c r="D12" s="2" t="s">
        <v>21</v>
      </c>
      <c r="E12" s="2">
        <v>34285.21</v>
      </c>
      <c r="F12" s="2">
        <v>9172</v>
      </c>
      <c r="G12" s="2">
        <v>0.21299999999999999</v>
      </c>
      <c r="H12" s="2">
        <v>22</v>
      </c>
      <c r="I12" s="2">
        <v>88.3</v>
      </c>
      <c r="J12" s="2">
        <v>10.46</v>
      </c>
      <c r="K12" s="2">
        <v>1</v>
      </c>
      <c r="L12" s="2">
        <v>3.8</v>
      </c>
      <c r="M12" s="5">
        <f t="shared" si="0"/>
        <v>1</v>
      </c>
      <c r="N12" s="5">
        <f t="shared" si="1"/>
        <v>0</v>
      </c>
      <c r="O12" s="5">
        <f t="shared" si="2"/>
        <v>0</v>
      </c>
      <c r="P12" s="5">
        <f t="shared" si="3"/>
        <v>0</v>
      </c>
      <c r="Q12" s="5">
        <f t="shared" si="4"/>
        <v>0</v>
      </c>
      <c r="R12" s="5">
        <f t="shared" si="5"/>
        <v>1</v>
      </c>
      <c r="S12" s="2">
        <v>123131.24</v>
      </c>
      <c r="T12" s="2">
        <v>723060.76</v>
      </c>
      <c r="U12" s="12">
        <f t="shared" si="6"/>
        <v>754001.88049065345</v>
      </c>
      <c r="V12">
        <f t="shared" si="7"/>
        <v>-30941.12049065344</v>
      </c>
    </row>
    <row r="13" spans="1:22" ht="14.25">
      <c r="A13" s="2" t="s">
        <v>19</v>
      </c>
      <c r="B13" s="3">
        <v>45748</v>
      </c>
      <c r="C13" s="2" t="s">
        <v>20</v>
      </c>
      <c r="D13" s="2" t="s">
        <v>21</v>
      </c>
      <c r="E13" s="2">
        <v>67979.88</v>
      </c>
      <c r="F13" s="2">
        <v>11230</v>
      </c>
      <c r="G13" s="2">
        <v>2E-3</v>
      </c>
      <c r="H13" s="2">
        <v>28</v>
      </c>
      <c r="I13" s="2">
        <v>85.3</v>
      </c>
      <c r="J13" s="2">
        <v>7.16</v>
      </c>
      <c r="K13" s="2">
        <v>0</v>
      </c>
      <c r="L13" s="2">
        <v>3.8</v>
      </c>
      <c r="M13" s="5">
        <f t="shared" si="0"/>
        <v>1</v>
      </c>
      <c r="N13" s="5">
        <f t="shared" si="1"/>
        <v>0</v>
      </c>
      <c r="O13" s="5">
        <f t="shared" si="2"/>
        <v>0</v>
      </c>
      <c r="P13" s="5">
        <f t="shared" si="3"/>
        <v>0</v>
      </c>
      <c r="Q13" s="5">
        <f t="shared" si="4"/>
        <v>0</v>
      </c>
      <c r="R13" s="5">
        <f t="shared" si="5"/>
        <v>1</v>
      </c>
      <c r="S13" s="2">
        <v>158891.28</v>
      </c>
      <c r="T13" s="2">
        <v>910791.94</v>
      </c>
      <c r="U13" s="12">
        <f t="shared" si="6"/>
        <v>867782.44803788105</v>
      </c>
      <c r="V13">
        <f t="shared" si="7"/>
        <v>43009.491962118889</v>
      </c>
    </row>
    <row r="14" spans="1:22" ht="14.25">
      <c r="A14" s="2" t="s">
        <v>22</v>
      </c>
      <c r="B14" s="3">
        <v>45658</v>
      </c>
      <c r="C14" s="2" t="s">
        <v>15</v>
      </c>
      <c r="D14" s="2" t="s">
        <v>16</v>
      </c>
      <c r="E14" s="2">
        <v>71828.259999999995</v>
      </c>
      <c r="F14" s="2">
        <v>12775</v>
      </c>
      <c r="G14" s="2">
        <v>0.11600000000000001</v>
      </c>
      <c r="H14" s="2">
        <v>30</v>
      </c>
      <c r="I14" s="2">
        <v>81.7</v>
      </c>
      <c r="J14" s="2">
        <v>4.24</v>
      </c>
      <c r="K14" s="2">
        <v>1</v>
      </c>
      <c r="L14" s="2">
        <v>4.2</v>
      </c>
      <c r="M14" s="5">
        <f t="shared" si="0"/>
        <v>0</v>
      </c>
      <c r="N14" s="5">
        <f t="shared" si="1"/>
        <v>0</v>
      </c>
      <c r="O14" s="5">
        <f t="shared" si="2"/>
        <v>1</v>
      </c>
      <c r="P14" s="5">
        <f t="shared" si="3"/>
        <v>0</v>
      </c>
      <c r="Q14" s="5">
        <f t="shared" si="4"/>
        <v>0</v>
      </c>
      <c r="R14" s="5">
        <f t="shared" si="5"/>
        <v>0</v>
      </c>
      <c r="S14" s="2">
        <v>107494.53</v>
      </c>
      <c r="T14" s="2">
        <v>922168.6</v>
      </c>
      <c r="U14" s="12">
        <f t="shared" si="6"/>
        <v>881520.79437580402</v>
      </c>
      <c r="V14">
        <f t="shared" si="7"/>
        <v>40647.805624195957</v>
      </c>
    </row>
    <row r="15" spans="1:22" ht="14.25">
      <c r="A15" s="2" t="s">
        <v>22</v>
      </c>
      <c r="B15" s="3">
        <v>45689</v>
      </c>
      <c r="C15" s="2" t="s">
        <v>15</v>
      </c>
      <c r="D15" s="2" t="s">
        <v>16</v>
      </c>
      <c r="E15" s="2">
        <v>55716.82</v>
      </c>
      <c r="F15" s="2">
        <v>10054</v>
      </c>
      <c r="G15" s="2">
        <v>0.14599999999999999</v>
      </c>
      <c r="H15" s="2">
        <v>24</v>
      </c>
      <c r="I15" s="2">
        <v>84.9</v>
      </c>
      <c r="J15" s="2">
        <v>1.06</v>
      </c>
      <c r="K15" s="2">
        <v>0</v>
      </c>
      <c r="L15" s="2">
        <v>4.3</v>
      </c>
      <c r="M15" s="5">
        <f t="shared" si="0"/>
        <v>0</v>
      </c>
      <c r="N15" s="5">
        <f t="shared" si="1"/>
        <v>0</v>
      </c>
      <c r="O15" s="5">
        <f t="shared" si="2"/>
        <v>1</v>
      </c>
      <c r="P15" s="5">
        <f t="shared" si="3"/>
        <v>0</v>
      </c>
      <c r="Q15" s="5">
        <f t="shared" si="4"/>
        <v>0</v>
      </c>
      <c r="R15" s="5">
        <f t="shared" si="5"/>
        <v>0</v>
      </c>
      <c r="S15" s="2">
        <v>122729.29</v>
      </c>
      <c r="T15" s="2">
        <v>726606.28</v>
      </c>
      <c r="U15" s="12">
        <f t="shared" si="6"/>
        <v>772183.54344453546</v>
      </c>
      <c r="V15">
        <f t="shared" si="7"/>
        <v>-45577.263444535434</v>
      </c>
    </row>
    <row r="16" spans="1:22" ht="14.25">
      <c r="A16" s="2" t="s">
        <v>22</v>
      </c>
      <c r="B16" s="3">
        <v>45717</v>
      </c>
      <c r="C16" s="2" t="s">
        <v>15</v>
      </c>
      <c r="D16" s="2" t="s">
        <v>16</v>
      </c>
      <c r="E16" s="2">
        <v>59909.51</v>
      </c>
      <c r="F16" s="2">
        <v>8895</v>
      </c>
      <c r="G16" s="2">
        <v>0.22800000000000001</v>
      </c>
      <c r="H16" s="2">
        <v>23</v>
      </c>
      <c r="I16" s="2">
        <v>88.8</v>
      </c>
      <c r="J16" s="2">
        <v>0.27</v>
      </c>
      <c r="K16" s="2">
        <v>0</v>
      </c>
      <c r="L16" s="2">
        <v>4.3</v>
      </c>
      <c r="M16" s="5">
        <f t="shared" si="0"/>
        <v>0</v>
      </c>
      <c r="N16" s="5">
        <f t="shared" si="1"/>
        <v>0</v>
      </c>
      <c r="O16" s="5">
        <f t="shared" si="2"/>
        <v>1</v>
      </c>
      <c r="P16" s="5">
        <f t="shared" si="3"/>
        <v>0</v>
      </c>
      <c r="Q16" s="5">
        <f t="shared" si="4"/>
        <v>0</v>
      </c>
      <c r="R16" s="5">
        <f t="shared" si="5"/>
        <v>0</v>
      </c>
      <c r="S16" s="2">
        <v>136816.72</v>
      </c>
      <c r="T16" s="2">
        <v>746501.09</v>
      </c>
      <c r="U16" s="12">
        <f t="shared" si="6"/>
        <v>753342.13673451892</v>
      </c>
      <c r="V16">
        <f t="shared" si="7"/>
        <v>-6841.0467345189536</v>
      </c>
    </row>
    <row r="17" spans="1:22" ht="14.25">
      <c r="A17" s="2" t="s">
        <v>22</v>
      </c>
      <c r="B17" s="3">
        <v>45748</v>
      </c>
      <c r="C17" s="2" t="s">
        <v>15</v>
      </c>
      <c r="D17" s="2" t="s">
        <v>16</v>
      </c>
      <c r="E17" s="2">
        <v>75305.710000000006</v>
      </c>
      <c r="F17" s="2">
        <v>10940</v>
      </c>
      <c r="G17" s="2">
        <v>6.0000000000000001E-3</v>
      </c>
      <c r="H17" s="2">
        <v>26</v>
      </c>
      <c r="I17" s="2">
        <v>76.5</v>
      </c>
      <c r="J17" s="2">
        <v>1.32</v>
      </c>
      <c r="K17" s="2">
        <v>0</v>
      </c>
      <c r="L17" s="2">
        <v>4.5</v>
      </c>
      <c r="M17" s="5">
        <f t="shared" si="0"/>
        <v>0</v>
      </c>
      <c r="N17" s="5">
        <f t="shared" si="1"/>
        <v>0</v>
      </c>
      <c r="O17" s="5">
        <f t="shared" si="2"/>
        <v>1</v>
      </c>
      <c r="P17" s="5">
        <f t="shared" si="3"/>
        <v>0</v>
      </c>
      <c r="Q17" s="5">
        <f t="shared" si="4"/>
        <v>0</v>
      </c>
      <c r="R17" s="5">
        <f t="shared" si="5"/>
        <v>0</v>
      </c>
      <c r="S17" s="2">
        <v>114745.03</v>
      </c>
      <c r="T17" s="2">
        <v>834017.02</v>
      </c>
      <c r="U17" s="12">
        <f t="shared" si="6"/>
        <v>808780.82515790919</v>
      </c>
      <c r="V17">
        <f t="shared" si="7"/>
        <v>25236.19484209083</v>
      </c>
    </row>
    <row r="18" spans="1:22" ht="14.25">
      <c r="A18" s="2" t="s">
        <v>23</v>
      </c>
      <c r="B18" s="3">
        <v>45658</v>
      </c>
      <c r="C18" s="2" t="s">
        <v>24</v>
      </c>
      <c r="D18" s="2" t="s">
        <v>16</v>
      </c>
      <c r="E18" s="2">
        <v>48804.22</v>
      </c>
      <c r="F18" s="2">
        <v>7057</v>
      </c>
      <c r="G18" s="2">
        <v>5.0000000000000001E-3</v>
      </c>
      <c r="H18" s="2">
        <v>15</v>
      </c>
      <c r="I18" s="2">
        <v>87.7</v>
      </c>
      <c r="J18" s="2">
        <v>1.22</v>
      </c>
      <c r="K18" s="2">
        <v>0</v>
      </c>
      <c r="L18" s="2">
        <v>3.7</v>
      </c>
      <c r="M18" s="5">
        <f t="shared" si="0"/>
        <v>0</v>
      </c>
      <c r="N18" s="5">
        <f t="shared" si="1"/>
        <v>1</v>
      </c>
      <c r="O18" s="5">
        <f t="shared" si="2"/>
        <v>0</v>
      </c>
      <c r="P18" s="5">
        <f t="shared" si="3"/>
        <v>0</v>
      </c>
      <c r="Q18" s="5">
        <f t="shared" si="4"/>
        <v>0</v>
      </c>
      <c r="R18" s="5">
        <f t="shared" si="5"/>
        <v>0</v>
      </c>
      <c r="S18" s="2">
        <v>107490.58</v>
      </c>
      <c r="T18" s="2">
        <v>666152.52</v>
      </c>
      <c r="U18" s="12">
        <f t="shared" si="6"/>
        <v>677740.88783542614</v>
      </c>
      <c r="V18">
        <f t="shared" si="7"/>
        <v>-11588.367835426121</v>
      </c>
    </row>
    <row r="19" spans="1:22" ht="14.25">
      <c r="A19" s="2" t="s">
        <v>23</v>
      </c>
      <c r="B19" s="3">
        <v>45689</v>
      </c>
      <c r="C19" s="2" t="s">
        <v>24</v>
      </c>
      <c r="D19" s="2" t="s">
        <v>16</v>
      </c>
      <c r="E19" s="2">
        <v>59117.9</v>
      </c>
      <c r="F19" s="2">
        <v>4263</v>
      </c>
      <c r="G19" s="2">
        <v>0.11899999999999999</v>
      </c>
      <c r="H19" s="2">
        <v>9</v>
      </c>
      <c r="I19" s="2">
        <v>87.6</v>
      </c>
      <c r="J19" s="2">
        <v>4.01</v>
      </c>
      <c r="K19" s="2">
        <v>0</v>
      </c>
      <c r="L19" s="2">
        <v>3.6</v>
      </c>
      <c r="M19" s="5">
        <f t="shared" si="0"/>
        <v>0</v>
      </c>
      <c r="N19" s="5">
        <f t="shared" si="1"/>
        <v>1</v>
      </c>
      <c r="O19" s="5">
        <f t="shared" si="2"/>
        <v>0</v>
      </c>
      <c r="P19" s="5">
        <f t="shared" si="3"/>
        <v>0</v>
      </c>
      <c r="Q19" s="5">
        <f t="shared" si="4"/>
        <v>0</v>
      </c>
      <c r="R19" s="5">
        <f t="shared" si="5"/>
        <v>0</v>
      </c>
      <c r="S19" s="2">
        <v>83680.75</v>
      </c>
      <c r="T19" s="2">
        <v>573155.18999999994</v>
      </c>
      <c r="U19" s="12">
        <f t="shared" si="6"/>
        <v>576940.77262459684</v>
      </c>
      <c r="V19">
        <f t="shared" si="7"/>
        <v>-3785.5826245968929</v>
      </c>
    </row>
    <row r="20" spans="1:22" ht="14.25">
      <c r="A20" s="2" t="s">
        <v>23</v>
      </c>
      <c r="B20" s="3">
        <v>45717</v>
      </c>
      <c r="C20" s="2" t="s">
        <v>24</v>
      </c>
      <c r="D20" s="2" t="s">
        <v>16</v>
      </c>
      <c r="E20" s="2">
        <v>78831.12</v>
      </c>
      <c r="F20" s="2">
        <v>5538</v>
      </c>
      <c r="G20" s="2">
        <v>0</v>
      </c>
      <c r="H20" s="2">
        <v>15</v>
      </c>
      <c r="I20" s="2">
        <v>94.1</v>
      </c>
      <c r="J20" s="2">
        <v>0.2</v>
      </c>
      <c r="K20" s="2">
        <v>0</v>
      </c>
      <c r="L20" s="2">
        <v>3.9</v>
      </c>
      <c r="M20" s="5">
        <f t="shared" si="0"/>
        <v>0</v>
      </c>
      <c r="N20" s="5">
        <f t="shared" si="1"/>
        <v>1</v>
      </c>
      <c r="O20" s="5">
        <f t="shared" si="2"/>
        <v>0</v>
      </c>
      <c r="P20" s="5">
        <f t="shared" si="3"/>
        <v>0</v>
      </c>
      <c r="Q20" s="5">
        <f t="shared" si="4"/>
        <v>0</v>
      </c>
      <c r="R20" s="5">
        <f t="shared" si="5"/>
        <v>0</v>
      </c>
      <c r="S20" s="2">
        <v>140641.01999999999</v>
      </c>
      <c r="T20" s="2">
        <v>666573.19999999995</v>
      </c>
      <c r="U20" s="12">
        <f t="shared" si="6"/>
        <v>698360.733645031</v>
      </c>
      <c r="V20">
        <f t="shared" si="7"/>
        <v>-31787.533645031042</v>
      </c>
    </row>
    <row r="21" spans="1:22" ht="14.25">
      <c r="A21" s="2" t="s">
        <v>23</v>
      </c>
      <c r="B21" s="3">
        <v>45748</v>
      </c>
      <c r="C21" s="2" t="s">
        <v>24</v>
      </c>
      <c r="D21" s="2" t="s">
        <v>16</v>
      </c>
      <c r="E21" s="2">
        <v>41441.93</v>
      </c>
      <c r="F21" s="2">
        <v>4865</v>
      </c>
      <c r="G21" s="2">
        <v>0.158</v>
      </c>
      <c r="H21" s="2">
        <v>16</v>
      </c>
      <c r="I21" s="2">
        <v>88.3</v>
      </c>
      <c r="J21" s="2">
        <v>0.5</v>
      </c>
      <c r="K21" s="2">
        <v>0</v>
      </c>
      <c r="L21" s="2">
        <v>4</v>
      </c>
      <c r="M21" s="5">
        <f t="shared" si="0"/>
        <v>0</v>
      </c>
      <c r="N21" s="5">
        <f t="shared" si="1"/>
        <v>1</v>
      </c>
      <c r="O21" s="5">
        <f t="shared" si="2"/>
        <v>0</v>
      </c>
      <c r="P21" s="5">
        <f t="shared" si="3"/>
        <v>0</v>
      </c>
      <c r="Q21" s="5">
        <f t="shared" si="4"/>
        <v>0</v>
      </c>
      <c r="R21" s="5">
        <f t="shared" si="5"/>
        <v>0</v>
      </c>
      <c r="S21" s="2">
        <v>99521.35</v>
      </c>
      <c r="T21" s="2">
        <v>591619.94999999995</v>
      </c>
      <c r="U21" s="12">
        <f t="shared" si="6"/>
        <v>614175.90400442958</v>
      </c>
      <c r="V21">
        <f t="shared" si="7"/>
        <v>-22555.95400442963</v>
      </c>
    </row>
    <row r="22" spans="1:22" ht="14.25">
      <c r="A22" s="2" t="s">
        <v>25</v>
      </c>
      <c r="B22" s="3">
        <v>45658</v>
      </c>
      <c r="C22" s="2" t="s">
        <v>20</v>
      </c>
      <c r="D22" s="2" t="s">
        <v>16</v>
      </c>
      <c r="E22" s="2">
        <v>30356.28</v>
      </c>
      <c r="F22" s="2">
        <v>2822</v>
      </c>
      <c r="G22" s="2">
        <v>0.23100000000000001</v>
      </c>
      <c r="H22" s="2">
        <v>9</v>
      </c>
      <c r="I22" s="2">
        <v>84.8</v>
      </c>
      <c r="J22" s="2">
        <v>6.95</v>
      </c>
      <c r="K22" s="2">
        <v>0</v>
      </c>
      <c r="L22" s="2">
        <v>5</v>
      </c>
      <c r="M22" s="5">
        <f t="shared" si="0"/>
        <v>1</v>
      </c>
      <c r="N22" s="5">
        <f t="shared" si="1"/>
        <v>0</v>
      </c>
      <c r="O22" s="5">
        <f t="shared" si="2"/>
        <v>0</v>
      </c>
      <c r="P22" s="5">
        <f t="shared" si="3"/>
        <v>0</v>
      </c>
      <c r="Q22" s="5">
        <f t="shared" si="4"/>
        <v>0</v>
      </c>
      <c r="R22" s="5">
        <f t="shared" si="5"/>
        <v>0</v>
      </c>
      <c r="S22" s="2">
        <v>61179.15</v>
      </c>
      <c r="T22" s="2">
        <v>415721.82</v>
      </c>
      <c r="U22" s="12">
        <f t="shared" si="6"/>
        <v>485820.74739073974</v>
      </c>
      <c r="V22">
        <f t="shared" si="7"/>
        <v>-70098.927390739729</v>
      </c>
    </row>
    <row r="23" spans="1:22" ht="14.25">
      <c r="A23" s="2" t="s">
        <v>25</v>
      </c>
      <c r="B23" s="3">
        <v>45689</v>
      </c>
      <c r="C23" s="2" t="s">
        <v>20</v>
      </c>
      <c r="D23" s="2" t="s">
        <v>16</v>
      </c>
      <c r="E23" s="2">
        <v>33518.879999999997</v>
      </c>
      <c r="F23" s="2">
        <v>2121</v>
      </c>
      <c r="G23" s="2">
        <v>0.17599999999999999</v>
      </c>
      <c r="H23" s="2">
        <v>8</v>
      </c>
      <c r="I23" s="2">
        <v>88.5</v>
      </c>
      <c r="J23" s="2">
        <v>0.2</v>
      </c>
      <c r="K23" s="2">
        <v>0</v>
      </c>
      <c r="L23" s="2">
        <v>5</v>
      </c>
      <c r="M23" s="5">
        <f t="shared" si="0"/>
        <v>1</v>
      </c>
      <c r="N23" s="5">
        <f t="shared" si="1"/>
        <v>0</v>
      </c>
      <c r="O23" s="5">
        <f t="shared" si="2"/>
        <v>0</v>
      </c>
      <c r="P23" s="5">
        <f t="shared" si="3"/>
        <v>0</v>
      </c>
      <c r="Q23" s="5">
        <f t="shared" si="4"/>
        <v>0</v>
      </c>
      <c r="R23" s="5">
        <f t="shared" si="5"/>
        <v>0</v>
      </c>
      <c r="S23" s="2">
        <v>79212.259999999995</v>
      </c>
      <c r="T23" s="2">
        <v>491905.13</v>
      </c>
      <c r="U23" s="12">
        <f t="shared" si="6"/>
        <v>503781.975144069</v>
      </c>
      <c r="V23">
        <f t="shared" si="7"/>
        <v>-11876.845144068997</v>
      </c>
    </row>
    <row r="24" spans="1:22" ht="14.25">
      <c r="A24" s="2" t="s">
        <v>25</v>
      </c>
      <c r="B24" s="3">
        <v>45717</v>
      </c>
      <c r="C24" s="2" t="s">
        <v>20</v>
      </c>
      <c r="D24" s="2" t="s">
        <v>16</v>
      </c>
      <c r="E24" s="2">
        <v>42267.37</v>
      </c>
      <c r="F24" s="2">
        <v>3364</v>
      </c>
      <c r="G24" s="2">
        <v>0.16</v>
      </c>
      <c r="H24" s="2">
        <v>13</v>
      </c>
      <c r="I24" s="2">
        <v>82</v>
      </c>
      <c r="J24" s="2">
        <v>1.61</v>
      </c>
      <c r="K24" s="2">
        <v>1</v>
      </c>
      <c r="L24" s="2">
        <v>4.5999999999999996</v>
      </c>
      <c r="M24" s="5">
        <f t="shared" si="0"/>
        <v>1</v>
      </c>
      <c r="N24" s="5">
        <f t="shared" si="1"/>
        <v>0</v>
      </c>
      <c r="O24" s="5">
        <f t="shared" si="2"/>
        <v>0</v>
      </c>
      <c r="P24" s="5">
        <f t="shared" si="3"/>
        <v>0</v>
      </c>
      <c r="Q24" s="5">
        <f t="shared" si="4"/>
        <v>0</v>
      </c>
      <c r="R24" s="5">
        <f t="shared" si="5"/>
        <v>0</v>
      </c>
      <c r="S24" s="2">
        <v>115201.76</v>
      </c>
      <c r="T24" s="2">
        <v>555929.4</v>
      </c>
      <c r="U24" s="12">
        <f t="shared" si="6"/>
        <v>551949.20255848602</v>
      </c>
      <c r="V24">
        <f t="shared" si="7"/>
        <v>3980.1974415139994</v>
      </c>
    </row>
    <row r="25" spans="1:22" ht="14.25">
      <c r="A25" s="2" t="s">
        <v>25</v>
      </c>
      <c r="B25" s="3">
        <v>45748</v>
      </c>
      <c r="C25" s="2" t="s">
        <v>20</v>
      </c>
      <c r="D25" s="2" t="s">
        <v>16</v>
      </c>
      <c r="E25" s="2">
        <v>62060.43</v>
      </c>
      <c r="F25" s="2">
        <v>2613</v>
      </c>
      <c r="G25" s="2">
        <v>0.216</v>
      </c>
      <c r="H25" s="2">
        <v>12</v>
      </c>
      <c r="I25" s="2">
        <v>92.1</v>
      </c>
      <c r="J25" s="2">
        <v>1.55</v>
      </c>
      <c r="K25" s="2">
        <v>0</v>
      </c>
      <c r="L25" s="2">
        <v>4.7</v>
      </c>
      <c r="M25" s="5">
        <f t="shared" si="0"/>
        <v>1</v>
      </c>
      <c r="N25" s="5">
        <f t="shared" si="1"/>
        <v>0</v>
      </c>
      <c r="O25" s="5">
        <f t="shared" si="2"/>
        <v>0</v>
      </c>
      <c r="P25" s="5">
        <f t="shared" si="3"/>
        <v>0</v>
      </c>
      <c r="Q25" s="5">
        <f t="shared" si="4"/>
        <v>0</v>
      </c>
      <c r="R25" s="5">
        <f t="shared" si="5"/>
        <v>0</v>
      </c>
      <c r="S25" s="2">
        <v>77825.460000000006</v>
      </c>
      <c r="T25" s="2">
        <v>565810.99</v>
      </c>
      <c r="U25" s="12">
        <f t="shared" si="6"/>
        <v>566778.16120325145</v>
      </c>
      <c r="V25">
        <f t="shared" si="7"/>
        <v>-967.17120325146243</v>
      </c>
    </row>
    <row r="26" spans="1:22" ht="14.25">
      <c r="A26" s="2" t="s">
        <v>26</v>
      </c>
      <c r="B26" s="3">
        <v>45658</v>
      </c>
      <c r="C26" s="2" t="s">
        <v>27</v>
      </c>
      <c r="D26" s="2" t="s">
        <v>28</v>
      </c>
      <c r="E26" s="2">
        <v>57696.69</v>
      </c>
      <c r="F26" s="2">
        <v>10218</v>
      </c>
      <c r="G26" s="2">
        <v>0.121</v>
      </c>
      <c r="H26" s="2">
        <v>25</v>
      </c>
      <c r="I26" s="2">
        <v>94.8</v>
      </c>
      <c r="J26" s="2">
        <v>2.99</v>
      </c>
      <c r="K26" s="2">
        <v>0</v>
      </c>
      <c r="L26" s="2">
        <v>3.5</v>
      </c>
      <c r="M26" s="5">
        <f t="shared" si="0"/>
        <v>0</v>
      </c>
      <c r="N26" s="5">
        <f t="shared" si="1"/>
        <v>0</v>
      </c>
      <c r="O26" s="5">
        <f t="shared" si="2"/>
        <v>0</v>
      </c>
      <c r="P26" s="5">
        <f t="shared" si="3"/>
        <v>1</v>
      </c>
      <c r="Q26" s="5">
        <f t="shared" si="4"/>
        <v>0</v>
      </c>
      <c r="R26" s="5">
        <f t="shared" si="5"/>
        <v>0</v>
      </c>
      <c r="S26" s="2">
        <v>148756.24</v>
      </c>
      <c r="T26" s="2">
        <v>811771.14</v>
      </c>
      <c r="U26" s="12">
        <f t="shared" si="6"/>
        <v>855398.69533932151</v>
      </c>
      <c r="V26">
        <f t="shared" si="7"/>
        <v>-43627.555339321494</v>
      </c>
    </row>
    <row r="27" spans="1:22" ht="14.25">
      <c r="A27" s="2" t="s">
        <v>26</v>
      </c>
      <c r="B27" s="3">
        <v>45689</v>
      </c>
      <c r="C27" s="2" t="s">
        <v>27</v>
      </c>
      <c r="D27" s="2" t="s">
        <v>28</v>
      </c>
      <c r="E27" s="2">
        <v>172415.52</v>
      </c>
      <c r="F27" s="2">
        <v>8927</v>
      </c>
      <c r="G27" s="2">
        <v>0.14000000000000001</v>
      </c>
      <c r="H27" s="2">
        <v>22</v>
      </c>
      <c r="I27" s="2">
        <v>86.2</v>
      </c>
      <c r="J27" s="2">
        <v>7.04</v>
      </c>
      <c r="K27" s="2">
        <v>0</v>
      </c>
      <c r="L27" s="2">
        <v>3.9</v>
      </c>
      <c r="M27" s="5">
        <f t="shared" si="0"/>
        <v>0</v>
      </c>
      <c r="N27" s="5">
        <f t="shared" si="1"/>
        <v>0</v>
      </c>
      <c r="O27" s="5">
        <f t="shared" si="2"/>
        <v>0</v>
      </c>
      <c r="P27" s="5">
        <f t="shared" si="3"/>
        <v>1</v>
      </c>
      <c r="Q27" s="5">
        <f t="shared" si="4"/>
        <v>0</v>
      </c>
      <c r="R27" s="5">
        <f t="shared" si="5"/>
        <v>0</v>
      </c>
      <c r="S27" s="2">
        <v>111572.29</v>
      </c>
      <c r="T27" s="2">
        <v>800451.94</v>
      </c>
      <c r="U27" s="12">
        <f t="shared" si="6"/>
        <v>912344.87052473577</v>
      </c>
      <c r="V27">
        <f t="shared" si="7"/>
        <v>-111892.93052473583</v>
      </c>
    </row>
    <row r="28" spans="1:22" ht="14.25">
      <c r="A28" s="2" t="s">
        <v>26</v>
      </c>
      <c r="B28" s="3">
        <v>45717</v>
      </c>
      <c r="C28" s="2" t="s">
        <v>27</v>
      </c>
      <c r="D28" s="2" t="s">
        <v>28</v>
      </c>
      <c r="E28" s="2">
        <v>55270.52</v>
      </c>
      <c r="F28" s="2">
        <v>9315</v>
      </c>
      <c r="G28" s="2">
        <v>0.16900000000000001</v>
      </c>
      <c r="H28" s="2">
        <v>23</v>
      </c>
      <c r="I28" s="2">
        <v>91.9</v>
      </c>
      <c r="J28" s="2">
        <v>4.9400000000000004</v>
      </c>
      <c r="K28" s="2">
        <v>0</v>
      </c>
      <c r="L28" s="2">
        <v>4</v>
      </c>
      <c r="M28" s="5">
        <f t="shared" si="0"/>
        <v>0</v>
      </c>
      <c r="N28" s="5">
        <f t="shared" si="1"/>
        <v>0</v>
      </c>
      <c r="O28" s="5">
        <f t="shared" si="2"/>
        <v>0</v>
      </c>
      <c r="P28" s="5">
        <f t="shared" si="3"/>
        <v>1</v>
      </c>
      <c r="Q28" s="5">
        <f t="shared" si="4"/>
        <v>0</v>
      </c>
      <c r="R28" s="5">
        <f t="shared" si="5"/>
        <v>0</v>
      </c>
      <c r="S28" s="2">
        <v>112577.14</v>
      </c>
      <c r="T28" s="2">
        <v>783672.82</v>
      </c>
      <c r="U28" s="12">
        <f t="shared" si="6"/>
        <v>809452.16013868595</v>
      </c>
      <c r="V28">
        <f t="shared" si="7"/>
        <v>-25779.340138686006</v>
      </c>
    </row>
    <row r="29" spans="1:22" ht="14.25">
      <c r="A29" s="2" t="s">
        <v>26</v>
      </c>
      <c r="B29" s="3">
        <v>45748</v>
      </c>
      <c r="C29" s="2" t="s">
        <v>27</v>
      </c>
      <c r="D29" s="2" t="s">
        <v>28</v>
      </c>
      <c r="E29" s="2">
        <v>52715.1</v>
      </c>
      <c r="F29" s="2">
        <v>7223</v>
      </c>
      <c r="G29" s="2">
        <v>0.122</v>
      </c>
      <c r="H29" s="2">
        <v>16</v>
      </c>
      <c r="I29" s="2">
        <v>84.2</v>
      </c>
      <c r="J29" s="2">
        <v>16.149999999999999</v>
      </c>
      <c r="K29" s="2">
        <v>0</v>
      </c>
      <c r="L29" s="2">
        <v>3.7</v>
      </c>
      <c r="M29" s="5">
        <f t="shared" si="0"/>
        <v>0</v>
      </c>
      <c r="N29" s="5">
        <f t="shared" si="1"/>
        <v>0</v>
      </c>
      <c r="O29" s="5">
        <f t="shared" si="2"/>
        <v>0</v>
      </c>
      <c r="P29" s="5">
        <f t="shared" si="3"/>
        <v>1</v>
      </c>
      <c r="Q29" s="5">
        <f t="shared" si="4"/>
        <v>0</v>
      </c>
      <c r="R29" s="5">
        <f t="shared" si="5"/>
        <v>0</v>
      </c>
      <c r="S29" s="2">
        <v>106111.86</v>
      </c>
      <c r="T29" s="2">
        <v>701641.97</v>
      </c>
      <c r="U29" s="12">
        <f t="shared" si="6"/>
        <v>660679.55169592914</v>
      </c>
      <c r="V29">
        <f t="shared" si="7"/>
        <v>40962.41830407083</v>
      </c>
    </row>
    <row r="30" spans="1:22" ht="14.25">
      <c r="A30" s="2" t="s">
        <v>29</v>
      </c>
      <c r="B30" s="3">
        <v>45658</v>
      </c>
      <c r="C30" s="2" t="s">
        <v>15</v>
      </c>
      <c r="D30" s="2" t="s">
        <v>16</v>
      </c>
      <c r="E30" s="2">
        <v>68600.62</v>
      </c>
      <c r="F30" s="2">
        <v>3988</v>
      </c>
      <c r="G30" s="2">
        <v>0.124</v>
      </c>
      <c r="H30" s="2">
        <v>11</v>
      </c>
      <c r="I30" s="2">
        <v>85</v>
      </c>
      <c r="J30" s="2">
        <v>0.48</v>
      </c>
      <c r="K30" s="2">
        <v>0</v>
      </c>
      <c r="L30" s="2">
        <v>3.6</v>
      </c>
      <c r="M30" s="5">
        <f t="shared" si="0"/>
        <v>0</v>
      </c>
      <c r="N30" s="5">
        <f t="shared" si="1"/>
        <v>0</v>
      </c>
      <c r="O30" s="5">
        <f t="shared" si="2"/>
        <v>1</v>
      </c>
      <c r="P30" s="5">
        <f t="shared" si="3"/>
        <v>0</v>
      </c>
      <c r="Q30" s="5">
        <f t="shared" si="4"/>
        <v>0</v>
      </c>
      <c r="R30" s="5">
        <f t="shared" si="5"/>
        <v>0</v>
      </c>
      <c r="S30" s="2">
        <v>72774.44</v>
      </c>
      <c r="T30" s="2">
        <v>511844.41</v>
      </c>
      <c r="U30" s="12">
        <f t="shared" si="6"/>
        <v>570792.52322630514</v>
      </c>
      <c r="V30">
        <f t="shared" si="7"/>
        <v>-58948.11322630517</v>
      </c>
    </row>
    <row r="31" spans="1:22" ht="14.25">
      <c r="A31" s="2" t="s">
        <v>29</v>
      </c>
      <c r="B31" s="3">
        <v>45689</v>
      </c>
      <c r="C31" s="2" t="s">
        <v>15</v>
      </c>
      <c r="D31" s="2" t="s">
        <v>16</v>
      </c>
      <c r="E31" s="2">
        <v>63176.73</v>
      </c>
      <c r="F31" s="2">
        <v>2390</v>
      </c>
      <c r="G31" s="2">
        <v>0.216</v>
      </c>
      <c r="H31" s="2">
        <v>9</v>
      </c>
      <c r="I31" s="2">
        <v>87.5</v>
      </c>
      <c r="J31" s="2">
        <v>0.31</v>
      </c>
      <c r="K31" s="2">
        <v>0</v>
      </c>
      <c r="L31" s="2">
        <v>3.1</v>
      </c>
      <c r="M31" s="5">
        <f t="shared" si="0"/>
        <v>0</v>
      </c>
      <c r="N31" s="5">
        <f t="shared" si="1"/>
        <v>0</v>
      </c>
      <c r="O31" s="5">
        <f t="shared" si="2"/>
        <v>1</v>
      </c>
      <c r="P31" s="5">
        <f t="shared" si="3"/>
        <v>0</v>
      </c>
      <c r="Q31" s="5">
        <f t="shared" si="4"/>
        <v>0</v>
      </c>
      <c r="R31" s="5">
        <f t="shared" si="5"/>
        <v>0</v>
      </c>
      <c r="S31" s="2">
        <v>63773.27</v>
      </c>
      <c r="T31" s="2">
        <v>537383.79</v>
      </c>
      <c r="U31" s="12">
        <f t="shared" si="6"/>
        <v>511720.87024181115</v>
      </c>
      <c r="V31">
        <f t="shared" si="7"/>
        <v>25662.919758188887</v>
      </c>
    </row>
    <row r="32" spans="1:22" ht="14.25">
      <c r="A32" s="2" t="s">
        <v>29</v>
      </c>
      <c r="B32" s="3">
        <v>45717</v>
      </c>
      <c r="C32" s="2" t="s">
        <v>15</v>
      </c>
      <c r="D32" s="2" t="s">
        <v>16</v>
      </c>
      <c r="E32" s="2">
        <v>44970.080000000002</v>
      </c>
      <c r="F32" s="2">
        <v>2471</v>
      </c>
      <c r="G32" s="2">
        <v>0.13600000000000001</v>
      </c>
      <c r="H32" s="2">
        <v>11</v>
      </c>
      <c r="I32" s="2">
        <v>87.6</v>
      </c>
      <c r="J32" s="2">
        <v>3.01</v>
      </c>
      <c r="K32" s="2">
        <v>1</v>
      </c>
      <c r="L32" s="2">
        <v>3.7</v>
      </c>
      <c r="M32" s="5">
        <f t="shared" si="0"/>
        <v>0</v>
      </c>
      <c r="N32" s="5">
        <f t="shared" si="1"/>
        <v>0</v>
      </c>
      <c r="O32" s="5">
        <f t="shared" si="2"/>
        <v>1</v>
      </c>
      <c r="P32" s="5">
        <f t="shared" si="3"/>
        <v>0</v>
      </c>
      <c r="Q32" s="5">
        <f t="shared" si="4"/>
        <v>0</v>
      </c>
      <c r="R32" s="5">
        <f t="shared" si="5"/>
        <v>0</v>
      </c>
      <c r="S32" s="2">
        <v>70982.05</v>
      </c>
      <c r="T32" s="2">
        <v>500173.02</v>
      </c>
      <c r="U32" s="12">
        <f t="shared" si="6"/>
        <v>515908.90141335933</v>
      </c>
      <c r="V32">
        <f t="shared" si="7"/>
        <v>-15735.881413359311</v>
      </c>
    </row>
    <row r="33" spans="1:22" ht="14.25">
      <c r="A33" s="2" t="s">
        <v>29</v>
      </c>
      <c r="B33" s="3">
        <v>45748</v>
      </c>
      <c r="C33" s="2" t="s">
        <v>15</v>
      </c>
      <c r="D33" s="2" t="s">
        <v>16</v>
      </c>
      <c r="E33" s="2">
        <v>69816.350000000006</v>
      </c>
      <c r="F33" s="2">
        <v>971</v>
      </c>
      <c r="G33" s="2">
        <v>0.16800000000000001</v>
      </c>
      <c r="H33" s="2">
        <v>5</v>
      </c>
      <c r="I33" s="2">
        <v>89.9</v>
      </c>
      <c r="J33" s="2">
        <v>12.15</v>
      </c>
      <c r="K33" s="2">
        <v>0</v>
      </c>
      <c r="L33" s="2">
        <v>3.6</v>
      </c>
      <c r="M33" s="5">
        <f t="shared" si="0"/>
        <v>0</v>
      </c>
      <c r="N33" s="5">
        <f t="shared" si="1"/>
        <v>0</v>
      </c>
      <c r="O33" s="5">
        <f t="shared" si="2"/>
        <v>1</v>
      </c>
      <c r="P33" s="5">
        <f t="shared" si="3"/>
        <v>0</v>
      </c>
      <c r="Q33" s="5">
        <f t="shared" si="4"/>
        <v>0</v>
      </c>
      <c r="R33" s="5">
        <f t="shared" si="5"/>
        <v>0</v>
      </c>
      <c r="S33" s="2">
        <v>81824.31</v>
      </c>
      <c r="T33" s="2">
        <v>427917.38</v>
      </c>
      <c r="U33" s="12">
        <f t="shared" si="6"/>
        <v>441807.18738512415</v>
      </c>
      <c r="V33">
        <f t="shared" si="7"/>
        <v>-13889.80738512415</v>
      </c>
    </row>
    <row r="34" spans="1:22" ht="14.25">
      <c r="A34" s="2" t="s">
        <v>30</v>
      </c>
      <c r="B34" s="3">
        <v>45658</v>
      </c>
      <c r="C34" s="2" t="s">
        <v>20</v>
      </c>
      <c r="D34" s="2" t="s">
        <v>16</v>
      </c>
      <c r="E34" s="2">
        <v>54597.83</v>
      </c>
      <c r="F34" s="2">
        <v>9429</v>
      </c>
      <c r="G34" s="2">
        <v>0.188</v>
      </c>
      <c r="H34" s="2">
        <v>21</v>
      </c>
      <c r="I34" s="2">
        <v>83.3</v>
      </c>
      <c r="J34" s="2">
        <v>11.71</v>
      </c>
      <c r="K34" s="2">
        <v>0</v>
      </c>
      <c r="L34" s="2">
        <v>4.2</v>
      </c>
      <c r="M34" s="5">
        <f t="shared" si="0"/>
        <v>1</v>
      </c>
      <c r="N34" s="5">
        <f t="shared" si="1"/>
        <v>0</v>
      </c>
      <c r="O34" s="5">
        <f t="shared" si="2"/>
        <v>0</v>
      </c>
      <c r="P34" s="5">
        <f t="shared" si="3"/>
        <v>0</v>
      </c>
      <c r="Q34" s="5">
        <f t="shared" si="4"/>
        <v>0</v>
      </c>
      <c r="R34" s="5">
        <f t="shared" si="5"/>
        <v>0</v>
      </c>
      <c r="S34" s="2">
        <v>81342.58</v>
      </c>
      <c r="T34" s="2">
        <v>641865.03</v>
      </c>
      <c r="U34" s="12">
        <f t="shared" si="6"/>
        <v>708669.49582881236</v>
      </c>
      <c r="V34">
        <f t="shared" si="7"/>
        <v>-66804.465828812332</v>
      </c>
    </row>
    <row r="35" spans="1:22" ht="14.25">
      <c r="A35" s="2" t="s">
        <v>30</v>
      </c>
      <c r="B35" s="3">
        <v>45689</v>
      </c>
      <c r="C35" s="2" t="s">
        <v>20</v>
      </c>
      <c r="D35" s="2" t="s">
        <v>16</v>
      </c>
      <c r="E35" s="2">
        <v>73771.91</v>
      </c>
      <c r="F35" s="2">
        <v>11695</v>
      </c>
      <c r="G35" s="2">
        <v>7.0000000000000007E-2</v>
      </c>
      <c r="H35" s="2">
        <v>25</v>
      </c>
      <c r="I35" s="2">
        <v>84.7</v>
      </c>
      <c r="J35" s="2">
        <v>0.62</v>
      </c>
      <c r="K35" s="2">
        <v>0</v>
      </c>
      <c r="L35" s="4">
        <v>3.9</v>
      </c>
      <c r="M35" s="5">
        <f t="shared" si="0"/>
        <v>1</v>
      </c>
      <c r="N35" s="5">
        <f t="shared" si="1"/>
        <v>0</v>
      </c>
      <c r="O35" s="5">
        <f t="shared" si="2"/>
        <v>0</v>
      </c>
      <c r="P35" s="5">
        <f t="shared" si="3"/>
        <v>0</v>
      </c>
      <c r="Q35" s="5">
        <f t="shared" si="4"/>
        <v>0</v>
      </c>
      <c r="R35" s="5">
        <f t="shared" si="5"/>
        <v>0</v>
      </c>
      <c r="S35" s="2">
        <v>164974.41</v>
      </c>
      <c r="T35" s="2">
        <v>799477.76000000001</v>
      </c>
      <c r="U35" s="12">
        <f t="shared" si="6"/>
        <v>851375.73993405979</v>
      </c>
      <c r="V35">
        <f t="shared" si="7"/>
        <v>-51897.979934059782</v>
      </c>
    </row>
    <row r="36" spans="1:22" ht="14.25">
      <c r="A36" s="2" t="s">
        <v>30</v>
      </c>
      <c r="B36" s="3">
        <v>45717</v>
      </c>
      <c r="C36" s="2" t="s">
        <v>20</v>
      </c>
      <c r="D36" s="2" t="s">
        <v>16</v>
      </c>
      <c r="E36" s="2">
        <v>74413.88</v>
      </c>
      <c r="F36" s="2">
        <v>9449</v>
      </c>
      <c r="G36" s="2">
        <v>3.9E-2</v>
      </c>
      <c r="H36" s="2">
        <v>23</v>
      </c>
      <c r="I36" s="2">
        <v>92.1</v>
      </c>
      <c r="J36" s="2">
        <v>2.12</v>
      </c>
      <c r="K36" s="2">
        <v>0</v>
      </c>
      <c r="L36" s="2">
        <v>3.5</v>
      </c>
      <c r="M36" s="5">
        <f t="shared" si="0"/>
        <v>1</v>
      </c>
      <c r="N36" s="5">
        <f t="shared" si="1"/>
        <v>0</v>
      </c>
      <c r="O36" s="5">
        <f t="shared" si="2"/>
        <v>0</v>
      </c>
      <c r="P36" s="5">
        <f t="shared" si="3"/>
        <v>0</v>
      </c>
      <c r="Q36" s="5">
        <f t="shared" si="4"/>
        <v>0</v>
      </c>
      <c r="R36" s="5">
        <f t="shared" si="5"/>
        <v>0</v>
      </c>
      <c r="S36" s="2">
        <v>161499.04</v>
      </c>
      <c r="T36" s="2">
        <v>798952.17</v>
      </c>
      <c r="U36" s="12">
        <f t="shared" si="6"/>
        <v>797516.53317747894</v>
      </c>
      <c r="V36">
        <f t="shared" si="7"/>
        <v>1435.6368225211045</v>
      </c>
    </row>
    <row r="37" spans="1:22" ht="14.25">
      <c r="A37" s="2" t="s">
        <v>30</v>
      </c>
      <c r="B37" s="3">
        <v>45748</v>
      </c>
      <c r="C37" s="2" t="s">
        <v>20</v>
      </c>
      <c r="D37" s="2" t="s">
        <v>16</v>
      </c>
      <c r="E37" s="2">
        <v>52483.77</v>
      </c>
      <c r="F37" s="2">
        <v>10453</v>
      </c>
      <c r="G37" s="2">
        <v>0.247</v>
      </c>
      <c r="H37" s="2">
        <v>25</v>
      </c>
      <c r="I37" s="2">
        <v>99</v>
      </c>
      <c r="J37" s="2">
        <v>6.31</v>
      </c>
      <c r="K37" s="2">
        <v>0</v>
      </c>
      <c r="L37" s="2">
        <v>3.6</v>
      </c>
      <c r="M37" s="5">
        <f t="shared" si="0"/>
        <v>1</v>
      </c>
      <c r="N37" s="5">
        <f t="shared" si="1"/>
        <v>0</v>
      </c>
      <c r="O37" s="5">
        <f t="shared" si="2"/>
        <v>0</v>
      </c>
      <c r="P37" s="5">
        <f t="shared" si="3"/>
        <v>0</v>
      </c>
      <c r="Q37" s="5">
        <f t="shared" si="4"/>
        <v>0</v>
      </c>
      <c r="R37" s="5">
        <f t="shared" si="5"/>
        <v>0</v>
      </c>
      <c r="S37" s="2">
        <v>149242.26999999999</v>
      </c>
      <c r="T37" s="2">
        <v>800979.78</v>
      </c>
      <c r="U37" s="12">
        <f t="shared" si="6"/>
        <v>804840.95618592482</v>
      </c>
      <c r="V37">
        <f t="shared" si="7"/>
        <v>-3861.1761859247927</v>
      </c>
    </row>
    <row r="38" spans="1:22" ht="14.25">
      <c r="A38" s="2" t="s">
        <v>31</v>
      </c>
      <c r="B38" s="3">
        <v>45658</v>
      </c>
      <c r="C38" s="2" t="s">
        <v>20</v>
      </c>
      <c r="D38" s="2" t="s">
        <v>28</v>
      </c>
      <c r="E38" s="2">
        <v>75269.87</v>
      </c>
      <c r="F38" s="2">
        <v>8838</v>
      </c>
      <c r="G38" s="2">
        <v>9.1999999999999998E-2</v>
      </c>
      <c r="H38" s="2">
        <v>21</v>
      </c>
      <c r="I38" s="2">
        <v>83.1</v>
      </c>
      <c r="J38" s="2">
        <v>9.56</v>
      </c>
      <c r="K38" s="2">
        <v>1</v>
      </c>
      <c r="L38" s="2">
        <v>4.2</v>
      </c>
      <c r="M38" s="5">
        <f t="shared" si="0"/>
        <v>1</v>
      </c>
      <c r="N38" s="5">
        <f t="shared" si="1"/>
        <v>0</v>
      </c>
      <c r="O38" s="5">
        <f t="shared" si="2"/>
        <v>0</v>
      </c>
      <c r="P38" s="5">
        <f t="shared" si="3"/>
        <v>1</v>
      </c>
      <c r="Q38" s="5">
        <f t="shared" si="4"/>
        <v>0</v>
      </c>
      <c r="R38" s="5">
        <f t="shared" si="5"/>
        <v>0</v>
      </c>
      <c r="S38" s="2">
        <v>115860.06</v>
      </c>
      <c r="T38" s="2">
        <v>820593.93</v>
      </c>
      <c r="U38" s="12">
        <f t="shared" si="6"/>
        <v>776254.46790093614</v>
      </c>
      <c r="V38">
        <f t="shared" si="7"/>
        <v>44339.462099063909</v>
      </c>
    </row>
    <row r="39" spans="1:22" ht="14.25">
      <c r="A39" s="2" t="s">
        <v>31</v>
      </c>
      <c r="B39" s="3">
        <v>45689</v>
      </c>
      <c r="C39" s="2" t="s">
        <v>20</v>
      </c>
      <c r="D39" s="2" t="s">
        <v>28</v>
      </c>
      <c r="E39" s="2">
        <v>61245.41</v>
      </c>
      <c r="F39" s="2">
        <v>8156</v>
      </c>
      <c r="G39" s="2">
        <v>0.156</v>
      </c>
      <c r="H39" s="2">
        <v>19</v>
      </c>
      <c r="I39" s="2">
        <v>92.9</v>
      </c>
      <c r="J39" s="2">
        <v>9.0500000000000007</v>
      </c>
      <c r="K39" s="2">
        <v>0</v>
      </c>
      <c r="L39" s="2">
        <v>3.8</v>
      </c>
      <c r="M39" s="5">
        <f t="shared" si="0"/>
        <v>1</v>
      </c>
      <c r="N39" s="5">
        <f t="shared" si="1"/>
        <v>0</v>
      </c>
      <c r="O39" s="5">
        <f t="shared" si="2"/>
        <v>0</v>
      </c>
      <c r="P39" s="5">
        <f t="shared" si="3"/>
        <v>1</v>
      </c>
      <c r="Q39" s="5">
        <f t="shared" si="4"/>
        <v>0</v>
      </c>
      <c r="R39" s="5">
        <f t="shared" si="5"/>
        <v>0</v>
      </c>
      <c r="S39" s="2">
        <v>93247.9</v>
      </c>
      <c r="T39" s="2">
        <v>718330.53</v>
      </c>
      <c r="U39" s="12">
        <f t="shared" si="6"/>
        <v>742588.25347656186</v>
      </c>
      <c r="V39">
        <f t="shared" si="7"/>
        <v>-24257.723476561834</v>
      </c>
    </row>
    <row r="40" spans="1:22" ht="14.25">
      <c r="A40" s="2" t="s">
        <v>31</v>
      </c>
      <c r="B40" s="3">
        <v>45717</v>
      </c>
      <c r="C40" s="2" t="s">
        <v>20</v>
      </c>
      <c r="D40" s="2" t="s">
        <v>28</v>
      </c>
      <c r="E40" s="2">
        <v>93381.26</v>
      </c>
      <c r="F40" s="2">
        <v>7562</v>
      </c>
      <c r="G40" s="2">
        <v>0.19800000000000001</v>
      </c>
      <c r="H40" s="2">
        <v>19</v>
      </c>
      <c r="I40" s="2">
        <v>82.9</v>
      </c>
      <c r="J40" s="2">
        <v>5.05</v>
      </c>
      <c r="K40" s="2">
        <v>0</v>
      </c>
      <c r="L40" s="2">
        <v>4</v>
      </c>
      <c r="M40" s="5">
        <f t="shared" si="0"/>
        <v>1</v>
      </c>
      <c r="N40" s="5">
        <f t="shared" si="1"/>
        <v>0</v>
      </c>
      <c r="O40" s="5">
        <f t="shared" si="2"/>
        <v>0</v>
      </c>
      <c r="P40" s="5">
        <f t="shared" si="3"/>
        <v>1</v>
      </c>
      <c r="Q40" s="5">
        <f t="shared" si="4"/>
        <v>0</v>
      </c>
      <c r="R40" s="5">
        <f t="shared" si="5"/>
        <v>0</v>
      </c>
      <c r="S40" s="2">
        <v>115654.66</v>
      </c>
      <c r="T40" s="2">
        <v>736633.4</v>
      </c>
      <c r="U40" s="12">
        <f t="shared" si="6"/>
        <v>749132.64307426009</v>
      </c>
      <c r="V40">
        <f t="shared" si="7"/>
        <v>-12499.24307426007</v>
      </c>
    </row>
    <row r="41" spans="1:22" ht="14.25">
      <c r="A41" s="2" t="s">
        <v>31</v>
      </c>
      <c r="B41" s="3">
        <v>45748</v>
      </c>
      <c r="C41" s="2" t="s">
        <v>20</v>
      </c>
      <c r="D41" s="2" t="s">
        <v>28</v>
      </c>
      <c r="E41" s="2">
        <v>65012.19</v>
      </c>
      <c r="F41" s="2">
        <v>9598</v>
      </c>
      <c r="G41" s="2">
        <v>8.5000000000000006E-2</v>
      </c>
      <c r="H41" s="2">
        <v>24</v>
      </c>
      <c r="I41" s="2">
        <v>98.3</v>
      </c>
      <c r="J41" s="2">
        <v>0.89</v>
      </c>
      <c r="K41" s="2">
        <v>0</v>
      </c>
      <c r="L41" s="2">
        <v>3.8</v>
      </c>
      <c r="M41" s="5">
        <f t="shared" si="0"/>
        <v>1</v>
      </c>
      <c r="N41" s="5">
        <f t="shared" si="1"/>
        <v>0</v>
      </c>
      <c r="O41" s="5">
        <f t="shared" si="2"/>
        <v>0</v>
      </c>
      <c r="P41" s="5">
        <f t="shared" si="3"/>
        <v>1</v>
      </c>
      <c r="Q41" s="5">
        <f t="shared" si="4"/>
        <v>0</v>
      </c>
      <c r="R41" s="5">
        <f t="shared" si="5"/>
        <v>0</v>
      </c>
      <c r="S41" s="2">
        <v>167320.51999999999</v>
      </c>
      <c r="T41" s="2">
        <v>828623.85</v>
      </c>
      <c r="U41" s="12">
        <f t="shared" si="6"/>
        <v>851625.73632402753</v>
      </c>
      <c r="V41">
        <f t="shared" si="7"/>
        <v>-23001.886324027553</v>
      </c>
    </row>
    <row r="42" spans="1:22" ht="14.25">
      <c r="A42" s="2" t="s">
        <v>32</v>
      </c>
      <c r="B42" s="3">
        <v>45658</v>
      </c>
      <c r="C42" s="2" t="s">
        <v>15</v>
      </c>
      <c r="D42" s="2" t="s">
        <v>28</v>
      </c>
      <c r="E42" s="2">
        <v>40462.94</v>
      </c>
      <c r="F42" s="2">
        <v>3660</v>
      </c>
      <c r="G42" s="2">
        <v>0.218</v>
      </c>
      <c r="H42" s="2">
        <v>11</v>
      </c>
      <c r="I42" s="2">
        <v>95.2</v>
      </c>
      <c r="J42" s="2">
        <v>5.57</v>
      </c>
      <c r="K42" s="2">
        <v>0</v>
      </c>
      <c r="L42" s="2">
        <v>4.4000000000000004</v>
      </c>
      <c r="M42" s="5">
        <f t="shared" si="0"/>
        <v>0</v>
      </c>
      <c r="N42" s="5">
        <f t="shared" si="1"/>
        <v>0</v>
      </c>
      <c r="O42" s="5">
        <f t="shared" si="2"/>
        <v>1</v>
      </c>
      <c r="P42" s="5">
        <f t="shared" si="3"/>
        <v>1</v>
      </c>
      <c r="Q42" s="5">
        <f t="shared" si="4"/>
        <v>0</v>
      </c>
      <c r="R42" s="5">
        <f t="shared" si="5"/>
        <v>0</v>
      </c>
      <c r="S42" s="2">
        <v>92291.56</v>
      </c>
      <c r="T42" s="2">
        <v>592195.85</v>
      </c>
      <c r="U42" s="12">
        <f t="shared" si="6"/>
        <v>580479.81281784654</v>
      </c>
      <c r="V42">
        <f t="shared" si="7"/>
        <v>11716.037182153435</v>
      </c>
    </row>
    <row r="43" spans="1:22" ht="14.25">
      <c r="A43" s="2" t="s">
        <v>32</v>
      </c>
      <c r="B43" s="3">
        <v>45689</v>
      </c>
      <c r="C43" s="2" t="s">
        <v>15</v>
      </c>
      <c r="D43" s="2" t="s">
        <v>28</v>
      </c>
      <c r="E43" s="2">
        <v>46123.88</v>
      </c>
      <c r="F43" s="2">
        <v>3227</v>
      </c>
      <c r="G43" s="2">
        <v>0.14299999999999999</v>
      </c>
      <c r="H43" s="2">
        <v>10</v>
      </c>
      <c r="I43" s="2">
        <v>75.400000000000006</v>
      </c>
      <c r="J43" s="2">
        <v>1.06</v>
      </c>
      <c r="K43" s="2">
        <v>0</v>
      </c>
      <c r="L43" s="2">
        <v>4.4000000000000004</v>
      </c>
      <c r="M43" s="5">
        <f t="shared" si="0"/>
        <v>0</v>
      </c>
      <c r="N43" s="5">
        <f t="shared" si="1"/>
        <v>0</v>
      </c>
      <c r="O43" s="5">
        <f t="shared" si="2"/>
        <v>1</v>
      </c>
      <c r="P43" s="5">
        <f t="shared" si="3"/>
        <v>1</v>
      </c>
      <c r="Q43" s="5">
        <f t="shared" si="4"/>
        <v>0</v>
      </c>
      <c r="R43" s="5">
        <f t="shared" si="5"/>
        <v>0</v>
      </c>
      <c r="S43" s="2">
        <v>60681.32</v>
      </c>
      <c r="T43" s="2">
        <v>532644.46</v>
      </c>
      <c r="U43" s="12">
        <f t="shared" si="6"/>
        <v>529951.51306883898</v>
      </c>
      <c r="V43">
        <f t="shared" si="7"/>
        <v>2692.9469311609864</v>
      </c>
    </row>
    <row r="44" spans="1:22" ht="14.25">
      <c r="A44" s="2" t="s">
        <v>32</v>
      </c>
      <c r="B44" s="3">
        <v>45717</v>
      </c>
      <c r="C44" s="2" t="s">
        <v>15</v>
      </c>
      <c r="D44" s="2" t="s">
        <v>28</v>
      </c>
      <c r="E44" s="2">
        <v>68077.539999999994</v>
      </c>
      <c r="F44" s="2">
        <v>3360</v>
      </c>
      <c r="G44" s="2">
        <v>0.128</v>
      </c>
      <c r="H44" s="2">
        <v>14</v>
      </c>
      <c r="I44" s="2">
        <v>88.2</v>
      </c>
      <c r="J44" s="2">
        <v>1.24</v>
      </c>
      <c r="K44" s="2">
        <v>1</v>
      </c>
      <c r="L44" s="2">
        <v>4</v>
      </c>
      <c r="M44" s="5">
        <f t="shared" si="0"/>
        <v>0</v>
      </c>
      <c r="N44" s="5">
        <f t="shared" si="1"/>
        <v>0</v>
      </c>
      <c r="O44" s="5">
        <f t="shared" si="2"/>
        <v>1</v>
      </c>
      <c r="P44" s="5">
        <f t="shared" si="3"/>
        <v>1</v>
      </c>
      <c r="Q44" s="5">
        <f t="shared" si="4"/>
        <v>0</v>
      </c>
      <c r="R44" s="5">
        <f t="shared" si="5"/>
        <v>0</v>
      </c>
      <c r="S44" s="2">
        <v>88919.74</v>
      </c>
      <c r="T44" s="2">
        <v>657429.18000000005</v>
      </c>
      <c r="U44" s="12">
        <f t="shared" si="6"/>
        <v>623532.76459502988</v>
      </c>
      <c r="V44">
        <f t="shared" si="7"/>
        <v>33896.415404970176</v>
      </c>
    </row>
    <row r="45" spans="1:22" ht="14.25">
      <c r="A45" s="2" t="s">
        <v>32</v>
      </c>
      <c r="B45" s="3">
        <v>45748</v>
      </c>
      <c r="C45" s="2" t="s">
        <v>15</v>
      </c>
      <c r="D45" s="2" t="s">
        <v>28</v>
      </c>
      <c r="E45" s="2">
        <v>64882.14</v>
      </c>
      <c r="F45" s="2">
        <v>3642</v>
      </c>
      <c r="G45" s="2">
        <v>1.9E-2</v>
      </c>
      <c r="H45" s="2">
        <v>13</v>
      </c>
      <c r="I45" s="2">
        <v>87.8</v>
      </c>
      <c r="J45" s="2">
        <v>4.5199999999999996</v>
      </c>
      <c r="K45" s="2">
        <v>0</v>
      </c>
      <c r="L45" s="2">
        <v>4.2</v>
      </c>
      <c r="M45" s="5">
        <f t="shared" si="0"/>
        <v>0</v>
      </c>
      <c r="N45" s="5">
        <f t="shared" si="1"/>
        <v>0</v>
      </c>
      <c r="O45" s="5">
        <f t="shared" si="2"/>
        <v>1</v>
      </c>
      <c r="P45" s="5">
        <f t="shared" si="3"/>
        <v>1</v>
      </c>
      <c r="Q45" s="5">
        <f t="shared" si="4"/>
        <v>0</v>
      </c>
      <c r="R45" s="5">
        <f t="shared" si="5"/>
        <v>0</v>
      </c>
      <c r="S45" s="2">
        <v>106958.74</v>
      </c>
      <c r="T45" s="2">
        <v>605178</v>
      </c>
      <c r="U45" s="12">
        <f t="shared" si="6"/>
        <v>603205.19701320282</v>
      </c>
      <c r="V45">
        <f t="shared" si="7"/>
        <v>1972.8029867971782</v>
      </c>
    </row>
    <row r="46" spans="1:22" ht="14.25">
      <c r="A46" s="2" t="s">
        <v>33</v>
      </c>
      <c r="B46" s="3">
        <v>45658</v>
      </c>
      <c r="C46" s="2" t="s">
        <v>27</v>
      </c>
      <c r="D46" s="2" t="s">
        <v>16</v>
      </c>
      <c r="E46" s="2">
        <v>138855.51</v>
      </c>
      <c r="F46" s="2">
        <v>5145</v>
      </c>
      <c r="G46" s="2">
        <v>0.06</v>
      </c>
      <c r="H46" s="2">
        <v>17</v>
      </c>
      <c r="I46" s="2">
        <v>88.2</v>
      </c>
      <c r="J46" s="2">
        <v>9.58</v>
      </c>
      <c r="K46" s="2">
        <v>0</v>
      </c>
      <c r="L46" s="2">
        <v>3.2</v>
      </c>
      <c r="M46" s="5">
        <f t="shared" si="0"/>
        <v>0</v>
      </c>
      <c r="N46" s="5">
        <f t="shared" si="1"/>
        <v>0</v>
      </c>
      <c r="O46" s="5">
        <f t="shared" si="2"/>
        <v>0</v>
      </c>
      <c r="P46" s="5">
        <f t="shared" si="3"/>
        <v>0</v>
      </c>
      <c r="Q46" s="5">
        <f t="shared" si="4"/>
        <v>0</v>
      </c>
      <c r="R46" s="5">
        <f t="shared" si="5"/>
        <v>0</v>
      </c>
      <c r="S46" s="2">
        <v>104276.46</v>
      </c>
      <c r="T46" s="2">
        <v>595467.6</v>
      </c>
      <c r="U46" s="12">
        <f t="shared" si="6"/>
        <v>709913.77556969097</v>
      </c>
      <c r="V46">
        <f t="shared" si="7"/>
        <v>-114446.175569691</v>
      </c>
    </row>
    <row r="47" spans="1:22" ht="14.25">
      <c r="A47" s="2" t="s">
        <v>33</v>
      </c>
      <c r="B47" s="3">
        <v>45689</v>
      </c>
      <c r="C47" s="2" t="s">
        <v>27</v>
      </c>
      <c r="D47" s="2" t="s">
        <v>16</v>
      </c>
      <c r="E47" s="2">
        <v>63630.21</v>
      </c>
      <c r="F47" s="2">
        <v>4460</v>
      </c>
      <c r="G47" s="2">
        <v>0.23499999999999999</v>
      </c>
      <c r="H47" s="2">
        <v>14</v>
      </c>
      <c r="I47" s="2">
        <v>98.6</v>
      </c>
      <c r="J47" s="2">
        <v>5.52</v>
      </c>
      <c r="K47" s="2">
        <v>0</v>
      </c>
      <c r="L47" s="2">
        <v>3.5</v>
      </c>
      <c r="M47" s="5">
        <f t="shared" si="0"/>
        <v>0</v>
      </c>
      <c r="N47" s="5">
        <f t="shared" si="1"/>
        <v>0</v>
      </c>
      <c r="O47" s="5">
        <f t="shared" si="2"/>
        <v>0</v>
      </c>
      <c r="P47" s="5">
        <f t="shared" si="3"/>
        <v>0</v>
      </c>
      <c r="Q47" s="5">
        <f t="shared" si="4"/>
        <v>0</v>
      </c>
      <c r="R47" s="5">
        <f t="shared" si="5"/>
        <v>0</v>
      </c>
      <c r="S47" s="2">
        <v>112685.12</v>
      </c>
      <c r="T47" s="2">
        <v>599603.4</v>
      </c>
      <c r="U47" s="12">
        <f t="shared" si="6"/>
        <v>631987.0432764932</v>
      </c>
      <c r="V47">
        <f t="shared" si="7"/>
        <v>-32383.643276493181</v>
      </c>
    </row>
    <row r="48" spans="1:22" ht="14.25">
      <c r="A48" s="2" t="s">
        <v>33</v>
      </c>
      <c r="B48" s="3">
        <v>45717</v>
      </c>
      <c r="C48" s="2" t="s">
        <v>27</v>
      </c>
      <c r="D48" s="2" t="s">
        <v>16</v>
      </c>
      <c r="E48" s="2">
        <v>50043.65</v>
      </c>
      <c r="F48" s="2">
        <v>3804</v>
      </c>
      <c r="G48" s="2">
        <v>0.113</v>
      </c>
      <c r="H48" s="2">
        <v>11</v>
      </c>
      <c r="I48" s="2">
        <v>90.9</v>
      </c>
      <c r="J48" s="2">
        <v>2.7</v>
      </c>
      <c r="K48" s="2">
        <v>1</v>
      </c>
      <c r="L48" s="2">
        <v>3.2</v>
      </c>
      <c r="M48" s="5">
        <f t="shared" si="0"/>
        <v>0</v>
      </c>
      <c r="N48" s="5">
        <f t="shared" si="1"/>
        <v>0</v>
      </c>
      <c r="O48" s="5">
        <f t="shared" si="2"/>
        <v>0</v>
      </c>
      <c r="P48" s="5">
        <f t="shared" si="3"/>
        <v>0</v>
      </c>
      <c r="Q48" s="5">
        <f t="shared" si="4"/>
        <v>0</v>
      </c>
      <c r="R48" s="5">
        <f t="shared" si="5"/>
        <v>0</v>
      </c>
      <c r="S48" s="2">
        <v>100044.2</v>
      </c>
      <c r="T48" s="2">
        <v>614800.09</v>
      </c>
      <c r="U48" s="12">
        <f t="shared" si="6"/>
        <v>589643.09408156585</v>
      </c>
      <c r="V48">
        <f t="shared" si="7"/>
        <v>25156.995918434113</v>
      </c>
    </row>
    <row r="49" spans="1:22" ht="14.25">
      <c r="A49" s="2" t="s">
        <v>33</v>
      </c>
      <c r="B49" s="3">
        <v>45748</v>
      </c>
      <c r="C49" s="2" t="s">
        <v>27</v>
      </c>
      <c r="D49" s="2" t="s">
        <v>16</v>
      </c>
      <c r="E49" s="2">
        <v>42093.84</v>
      </c>
      <c r="F49" s="2">
        <v>4074</v>
      </c>
      <c r="G49" s="2">
        <v>0.155</v>
      </c>
      <c r="H49" s="2">
        <v>15</v>
      </c>
      <c r="I49" s="2">
        <v>88</v>
      </c>
      <c r="J49" s="2">
        <v>9.64</v>
      </c>
      <c r="K49" s="2">
        <v>0</v>
      </c>
      <c r="L49" s="2">
        <v>3.3</v>
      </c>
      <c r="M49" s="5">
        <f t="shared" si="0"/>
        <v>0</v>
      </c>
      <c r="N49" s="5">
        <f t="shared" si="1"/>
        <v>0</v>
      </c>
      <c r="O49" s="5">
        <f t="shared" si="2"/>
        <v>0</v>
      </c>
      <c r="P49" s="5">
        <f t="shared" si="3"/>
        <v>0</v>
      </c>
      <c r="Q49" s="5">
        <f t="shared" si="4"/>
        <v>0</v>
      </c>
      <c r="R49" s="5">
        <f t="shared" si="5"/>
        <v>0</v>
      </c>
      <c r="S49" s="2">
        <v>81011.520000000004</v>
      </c>
      <c r="T49" s="2">
        <v>585365.73</v>
      </c>
      <c r="U49" s="12">
        <f t="shared" si="6"/>
        <v>553059.32958531938</v>
      </c>
      <c r="V49">
        <f t="shared" si="7"/>
        <v>32306.400414680596</v>
      </c>
    </row>
    <row r="50" spans="1:22" ht="14.25">
      <c r="A50" s="2" t="s">
        <v>34</v>
      </c>
      <c r="B50" s="3">
        <v>45658</v>
      </c>
      <c r="C50" s="2" t="s">
        <v>20</v>
      </c>
      <c r="D50" s="2" t="s">
        <v>28</v>
      </c>
      <c r="E50" s="2">
        <v>46624.05</v>
      </c>
      <c r="F50" s="2">
        <v>5104</v>
      </c>
      <c r="G50" s="2">
        <v>0.109</v>
      </c>
      <c r="H50" s="2">
        <v>11</v>
      </c>
      <c r="I50" s="2">
        <v>97.3</v>
      </c>
      <c r="J50" s="2">
        <v>3.49</v>
      </c>
      <c r="K50" s="2">
        <v>1</v>
      </c>
      <c r="L50" s="2">
        <v>4.7</v>
      </c>
      <c r="M50" s="5">
        <f t="shared" si="0"/>
        <v>1</v>
      </c>
      <c r="N50" s="5">
        <f t="shared" si="1"/>
        <v>0</v>
      </c>
      <c r="O50" s="5">
        <f t="shared" si="2"/>
        <v>0</v>
      </c>
      <c r="P50" s="5">
        <f t="shared" si="3"/>
        <v>1</v>
      </c>
      <c r="Q50" s="5">
        <f t="shared" si="4"/>
        <v>0</v>
      </c>
      <c r="R50" s="5">
        <f t="shared" si="5"/>
        <v>0</v>
      </c>
      <c r="S50" s="2">
        <v>109978.35</v>
      </c>
      <c r="T50" s="2">
        <v>622811.74</v>
      </c>
      <c r="U50" s="12">
        <f t="shared" si="6"/>
        <v>674344.02921814274</v>
      </c>
      <c r="V50">
        <f t="shared" si="7"/>
        <v>-51532.289218142745</v>
      </c>
    </row>
    <row r="51" spans="1:22" ht="14.25">
      <c r="A51" s="2" t="s">
        <v>34</v>
      </c>
      <c r="B51" s="3">
        <v>45689</v>
      </c>
      <c r="C51" s="2" t="s">
        <v>20</v>
      </c>
      <c r="D51" s="2" t="s">
        <v>28</v>
      </c>
      <c r="E51" s="2">
        <v>49710.29</v>
      </c>
      <c r="F51" s="2">
        <v>5559</v>
      </c>
      <c r="G51" s="2">
        <v>0.218</v>
      </c>
      <c r="H51" s="2">
        <v>14</v>
      </c>
      <c r="I51" s="2">
        <v>71</v>
      </c>
      <c r="J51" s="2">
        <v>9.11</v>
      </c>
      <c r="K51" s="2">
        <v>0</v>
      </c>
      <c r="L51" s="2">
        <v>4.5999999999999996</v>
      </c>
      <c r="M51" s="5">
        <f t="shared" si="0"/>
        <v>1</v>
      </c>
      <c r="N51" s="5">
        <f t="shared" si="1"/>
        <v>0</v>
      </c>
      <c r="O51" s="5">
        <f t="shared" si="2"/>
        <v>0</v>
      </c>
      <c r="P51" s="5">
        <f t="shared" si="3"/>
        <v>1</v>
      </c>
      <c r="Q51" s="5">
        <f t="shared" si="4"/>
        <v>0</v>
      </c>
      <c r="R51" s="5">
        <f t="shared" si="5"/>
        <v>0</v>
      </c>
      <c r="S51" s="2">
        <v>60592.26</v>
      </c>
      <c r="T51" s="2">
        <v>603297.56999999995</v>
      </c>
      <c r="U51" s="12">
        <f t="shared" si="6"/>
        <v>580279.29144992272</v>
      </c>
      <c r="V51">
        <f t="shared" si="7"/>
        <v>23018.27855007723</v>
      </c>
    </row>
    <row r="52" spans="1:22" ht="14.25">
      <c r="A52" s="2" t="s">
        <v>34</v>
      </c>
      <c r="B52" s="3">
        <v>45717</v>
      </c>
      <c r="C52" s="2" t="s">
        <v>20</v>
      </c>
      <c r="D52" s="2" t="s">
        <v>28</v>
      </c>
      <c r="E52" s="2">
        <v>48287.85</v>
      </c>
      <c r="F52" s="2">
        <v>5150</v>
      </c>
      <c r="G52" s="2">
        <v>8.0000000000000002E-3</v>
      </c>
      <c r="H52" s="2">
        <v>12</v>
      </c>
      <c r="I52" s="2">
        <v>80.400000000000006</v>
      </c>
      <c r="J52" s="2">
        <v>7.4</v>
      </c>
      <c r="K52" s="2">
        <v>0</v>
      </c>
      <c r="L52" s="2">
        <v>4.5</v>
      </c>
      <c r="M52" s="5">
        <f t="shared" si="0"/>
        <v>1</v>
      </c>
      <c r="N52" s="5">
        <f t="shared" si="1"/>
        <v>0</v>
      </c>
      <c r="O52" s="5">
        <f t="shared" si="2"/>
        <v>0</v>
      </c>
      <c r="P52" s="5">
        <f t="shared" si="3"/>
        <v>1</v>
      </c>
      <c r="Q52" s="5">
        <f t="shared" si="4"/>
        <v>0</v>
      </c>
      <c r="R52" s="5">
        <f t="shared" si="5"/>
        <v>0</v>
      </c>
      <c r="S52" s="2">
        <v>118020.12</v>
      </c>
      <c r="T52" s="2">
        <v>625672.86</v>
      </c>
      <c r="U52" s="12">
        <f t="shared" si="6"/>
        <v>602434.99509618233</v>
      </c>
      <c r="V52">
        <f t="shared" si="7"/>
        <v>23237.864903817652</v>
      </c>
    </row>
    <row r="53" spans="1:22" ht="14.25">
      <c r="A53" s="2" t="s">
        <v>34</v>
      </c>
      <c r="B53" s="3">
        <v>45748</v>
      </c>
      <c r="C53" s="2" t="s">
        <v>20</v>
      </c>
      <c r="D53" s="2" t="s">
        <v>28</v>
      </c>
      <c r="E53" s="2">
        <v>65312.49</v>
      </c>
      <c r="F53" s="2">
        <v>7189</v>
      </c>
      <c r="G53" s="2">
        <v>0.05</v>
      </c>
      <c r="H53" s="2">
        <v>19</v>
      </c>
      <c r="I53" s="2">
        <v>93.7</v>
      </c>
      <c r="J53" s="2">
        <v>7.16</v>
      </c>
      <c r="K53" s="2">
        <v>0</v>
      </c>
      <c r="L53" s="2">
        <v>4.5999999999999996</v>
      </c>
      <c r="M53" s="5">
        <f t="shared" si="0"/>
        <v>1</v>
      </c>
      <c r="N53" s="5">
        <f t="shared" si="1"/>
        <v>0</v>
      </c>
      <c r="O53" s="5">
        <f t="shared" si="2"/>
        <v>0</v>
      </c>
      <c r="P53" s="5">
        <f t="shared" si="3"/>
        <v>1</v>
      </c>
      <c r="Q53" s="5">
        <f t="shared" si="4"/>
        <v>0</v>
      </c>
      <c r="R53" s="5">
        <f t="shared" si="5"/>
        <v>0</v>
      </c>
      <c r="S53" s="2">
        <v>133948.39000000001</v>
      </c>
      <c r="T53" s="2">
        <v>773815.14</v>
      </c>
      <c r="U53" s="12">
        <f t="shared" si="6"/>
        <v>744402.16405954503</v>
      </c>
      <c r="V53">
        <f t="shared" si="7"/>
        <v>29412.975940454984</v>
      </c>
    </row>
    <row r="54" spans="1:22" ht="14.25">
      <c r="A54" s="2" t="s">
        <v>35</v>
      </c>
      <c r="B54" s="3">
        <v>45658</v>
      </c>
      <c r="C54" s="2" t="s">
        <v>27</v>
      </c>
      <c r="D54" s="2" t="s">
        <v>18</v>
      </c>
      <c r="E54" s="2">
        <v>53015.46</v>
      </c>
      <c r="F54" s="2">
        <v>3279</v>
      </c>
      <c r="G54" s="2">
        <v>8.6999999999999994E-2</v>
      </c>
      <c r="H54" s="2">
        <v>9</v>
      </c>
      <c r="I54" s="2">
        <v>84.3</v>
      </c>
      <c r="J54" s="2">
        <v>22.02</v>
      </c>
      <c r="K54" s="2">
        <v>0</v>
      </c>
      <c r="L54" s="2">
        <v>3.9</v>
      </c>
      <c r="M54" s="5">
        <f t="shared" si="0"/>
        <v>0</v>
      </c>
      <c r="N54" s="5">
        <f t="shared" si="1"/>
        <v>0</v>
      </c>
      <c r="O54" s="5">
        <f t="shared" si="2"/>
        <v>0</v>
      </c>
      <c r="P54" s="5">
        <f t="shared" si="3"/>
        <v>0</v>
      </c>
      <c r="Q54" s="5">
        <f t="shared" si="4"/>
        <v>1</v>
      </c>
      <c r="R54" s="5">
        <f t="shared" si="5"/>
        <v>0</v>
      </c>
      <c r="S54" s="2">
        <v>81834.539999999994</v>
      </c>
      <c r="T54" s="2">
        <v>463534.25</v>
      </c>
      <c r="U54" s="12">
        <f t="shared" si="6"/>
        <v>500126.55493465625</v>
      </c>
      <c r="V54">
        <f t="shared" si="7"/>
        <v>-36592.304934656247</v>
      </c>
    </row>
    <row r="55" spans="1:22" ht="14.25">
      <c r="A55" s="2" t="s">
        <v>35</v>
      </c>
      <c r="B55" s="3">
        <v>45689</v>
      </c>
      <c r="C55" s="2" t="s">
        <v>27</v>
      </c>
      <c r="D55" s="2" t="s">
        <v>18</v>
      </c>
      <c r="E55" s="2">
        <v>99874.01</v>
      </c>
      <c r="F55" s="2">
        <v>5887</v>
      </c>
      <c r="G55" s="2">
        <v>0.26200000000000001</v>
      </c>
      <c r="H55" s="2">
        <v>14</v>
      </c>
      <c r="I55" s="2">
        <v>88.7</v>
      </c>
      <c r="J55" s="2">
        <v>6.18</v>
      </c>
      <c r="K55" s="2">
        <v>0</v>
      </c>
      <c r="L55" s="2">
        <v>4.7</v>
      </c>
      <c r="M55" s="5">
        <f t="shared" si="0"/>
        <v>0</v>
      </c>
      <c r="N55" s="5">
        <f t="shared" si="1"/>
        <v>0</v>
      </c>
      <c r="O55" s="5">
        <f t="shared" si="2"/>
        <v>0</v>
      </c>
      <c r="P55" s="5">
        <f t="shared" si="3"/>
        <v>0</v>
      </c>
      <c r="Q55" s="5">
        <f t="shared" si="4"/>
        <v>1</v>
      </c>
      <c r="R55" s="5">
        <f t="shared" si="5"/>
        <v>0</v>
      </c>
      <c r="S55" s="2">
        <v>122437.84</v>
      </c>
      <c r="T55" s="2">
        <v>746677.75</v>
      </c>
      <c r="U55" s="12">
        <f t="shared" si="6"/>
        <v>716380.21413457301</v>
      </c>
      <c r="V55">
        <f t="shared" si="7"/>
        <v>30297.535865426995</v>
      </c>
    </row>
    <row r="56" spans="1:22" ht="14.25">
      <c r="A56" s="2" t="s">
        <v>35</v>
      </c>
      <c r="B56" s="3">
        <v>45717</v>
      </c>
      <c r="C56" s="2" t="s">
        <v>27</v>
      </c>
      <c r="D56" s="2" t="s">
        <v>18</v>
      </c>
      <c r="E56" s="2">
        <v>81195.5</v>
      </c>
      <c r="F56" s="2">
        <v>5516</v>
      </c>
      <c r="G56" s="2">
        <v>0.106</v>
      </c>
      <c r="H56" s="2">
        <v>14</v>
      </c>
      <c r="I56" s="2">
        <v>88</v>
      </c>
      <c r="J56" s="2">
        <v>1.76</v>
      </c>
      <c r="K56" s="2">
        <v>0</v>
      </c>
      <c r="L56" s="2">
        <v>4.3</v>
      </c>
      <c r="M56" s="5">
        <f t="shared" si="0"/>
        <v>0</v>
      </c>
      <c r="N56" s="5">
        <f t="shared" si="1"/>
        <v>0</v>
      </c>
      <c r="O56" s="5">
        <f t="shared" si="2"/>
        <v>0</v>
      </c>
      <c r="P56" s="5">
        <f t="shared" si="3"/>
        <v>0</v>
      </c>
      <c r="Q56" s="5">
        <f t="shared" si="4"/>
        <v>1</v>
      </c>
      <c r="R56" s="5">
        <f t="shared" si="5"/>
        <v>0</v>
      </c>
      <c r="S56" s="2">
        <v>98565.62</v>
      </c>
      <c r="T56" s="2">
        <v>720852.5</v>
      </c>
      <c r="U56" s="12">
        <f t="shared" si="6"/>
        <v>698121.86087472609</v>
      </c>
      <c r="V56">
        <f t="shared" si="7"/>
        <v>22730.639125273912</v>
      </c>
    </row>
    <row r="57" spans="1:22" ht="14.25">
      <c r="A57" s="2" t="s">
        <v>35</v>
      </c>
      <c r="B57" s="3">
        <v>45748</v>
      </c>
      <c r="C57" s="2" t="s">
        <v>27</v>
      </c>
      <c r="D57" s="2" t="s">
        <v>18</v>
      </c>
      <c r="E57" s="2">
        <v>27808.6</v>
      </c>
      <c r="F57" s="2">
        <v>2863</v>
      </c>
      <c r="G57" s="2">
        <v>0.08</v>
      </c>
      <c r="H57" s="2">
        <v>13</v>
      </c>
      <c r="I57" s="2">
        <v>89.3</v>
      </c>
      <c r="J57" s="2">
        <v>0.47</v>
      </c>
      <c r="K57" s="2">
        <v>0</v>
      </c>
      <c r="L57" s="2">
        <v>4.0999999999999996</v>
      </c>
      <c r="M57" s="5">
        <f t="shared" si="0"/>
        <v>0</v>
      </c>
      <c r="N57" s="5">
        <f t="shared" si="1"/>
        <v>0</v>
      </c>
      <c r="O57" s="5">
        <f t="shared" si="2"/>
        <v>0</v>
      </c>
      <c r="P57" s="5">
        <f t="shared" si="3"/>
        <v>0</v>
      </c>
      <c r="Q57" s="5">
        <f t="shared" si="4"/>
        <v>1</v>
      </c>
      <c r="R57" s="5">
        <f t="shared" si="5"/>
        <v>0</v>
      </c>
      <c r="S57" s="2">
        <v>64562.26</v>
      </c>
      <c r="T57" s="2">
        <v>487464.91</v>
      </c>
      <c r="U57" s="12">
        <f t="shared" si="6"/>
        <v>564482.66762799129</v>
      </c>
      <c r="V57">
        <f t="shared" si="7"/>
        <v>-77017.757627991319</v>
      </c>
    </row>
    <row r="58" spans="1:22" ht="14.25">
      <c r="A58" s="2" t="s">
        <v>36</v>
      </c>
      <c r="B58" s="3">
        <v>45658</v>
      </c>
      <c r="C58" s="2" t="s">
        <v>15</v>
      </c>
      <c r="D58" s="2" t="s">
        <v>21</v>
      </c>
      <c r="E58" s="2">
        <v>19365.060000000001</v>
      </c>
      <c r="F58" s="2">
        <v>2378</v>
      </c>
      <c r="G58" s="2">
        <v>0</v>
      </c>
      <c r="H58" s="2">
        <v>12</v>
      </c>
      <c r="I58" s="2">
        <v>94.8</v>
      </c>
      <c r="J58" s="2">
        <v>0.2</v>
      </c>
      <c r="K58" s="2">
        <v>0</v>
      </c>
      <c r="L58" s="2">
        <v>3.5</v>
      </c>
      <c r="M58" s="5">
        <f t="shared" si="0"/>
        <v>0</v>
      </c>
      <c r="N58" s="5">
        <f t="shared" si="1"/>
        <v>0</v>
      </c>
      <c r="O58" s="5">
        <f t="shared" si="2"/>
        <v>1</v>
      </c>
      <c r="P58" s="5">
        <f t="shared" si="3"/>
        <v>0</v>
      </c>
      <c r="Q58" s="5">
        <f t="shared" si="4"/>
        <v>0</v>
      </c>
      <c r="R58" s="5">
        <f t="shared" si="5"/>
        <v>1</v>
      </c>
      <c r="S58" s="2">
        <v>108592.49</v>
      </c>
      <c r="T58" s="2">
        <v>518049.26</v>
      </c>
      <c r="U58" s="12">
        <f t="shared" si="6"/>
        <v>550248.77210704959</v>
      </c>
      <c r="V58">
        <f t="shared" si="7"/>
        <v>-32199.512107049581</v>
      </c>
    </row>
    <row r="59" spans="1:22" ht="14.25">
      <c r="A59" s="2" t="s">
        <v>36</v>
      </c>
      <c r="B59" s="3">
        <v>45689</v>
      </c>
      <c r="C59" s="2" t="s">
        <v>15</v>
      </c>
      <c r="D59" s="2" t="s">
        <v>21</v>
      </c>
      <c r="E59" s="2">
        <v>59405.68</v>
      </c>
      <c r="F59" s="2">
        <v>2515</v>
      </c>
      <c r="G59" s="2">
        <v>3.9E-2</v>
      </c>
      <c r="H59" s="2">
        <v>12</v>
      </c>
      <c r="I59" s="2">
        <v>76</v>
      </c>
      <c r="J59" s="2">
        <v>5.1100000000000003</v>
      </c>
      <c r="K59" s="2">
        <v>0</v>
      </c>
      <c r="L59" s="2">
        <v>3.7</v>
      </c>
      <c r="M59" s="5">
        <f t="shared" si="0"/>
        <v>0</v>
      </c>
      <c r="N59" s="5">
        <f t="shared" si="1"/>
        <v>0</v>
      </c>
      <c r="O59" s="5">
        <f t="shared" si="2"/>
        <v>1</v>
      </c>
      <c r="P59" s="5">
        <f t="shared" si="3"/>
        <v>0</v>
      </c>
      <c r="Q59" s="5">
        <f t="shared" si="4"/>
        <v>0</v>
      </c>
      <c r="R59" s="5">
        <f t="shared" si="5"/>
        <v>1</v>
      </c>
      <c r="S59" s="2">
        <v>73461.320000000007</v>
      </c>
      <c r="T59" s="2">
        <v>500298.48</v>
      </c>
      <c r="U59" s="12">
        <f t="shared" si="6"/>
        <v>528882.86401546444</v>
      </c>
      <c r="V59">
        <f t="shared" si="7"/>
        <v>-28584.384015464457</v>
      </c>
    </row>
    <row r="60" spans="1:22" ht="14.25">
      <c r="A60" s="2" t="s">
        <v>36</v>
      </c>
      <c r="B60" s="3">
        <v>45717</v>
      </c>
      <c r="C60" s="2" t="s">
        <v>15</v>
      </c>
      <c r="D60" s="2" t="s">
        <v>21</v>
      </c>
      <c r="E60" s="2">
        <v>118910.48</v>
      </c>
      <c r="F60" s="2">
        <v>4022</v>
      </c>
      <c r="G60" s="2">
        <v>0.13700000000000001</v>
      </c>
      <c r="H60" s="2">
        <v>11</v>
      </c>
      <c r="I60" s="2">
        <v>87.1</v>
      </c>
      <c r="J60" s="2">
        <v>0.2</v>
      </c>
      <c r="K60" s="2">
        <v>0</v>
      </c>
      <c r="L60" s="2">
        <v>3.1</v>
      </c>
      <c r="M60" s="5">
        <f t="shared" si="0"/>
        <v>0</v>
      </c>
      <c r="N60" s="5">
        <f t="shared" si="1"/>
        <v>0</v>
      </c>
      <c r="O60" s="5">
        <f t="shared" si="2"/>
        <v>1</v>
      </c>
      <c r="P60" s="5">
        <f t="shared" si="3"/>
        <v>0</v>
      </c>
      <c r="Q60" s="5">
        <f t="shared" si="4"/>
        <v>0</v>
      </c>
      <c r="R60" s="5">
        <f t="shared" si="5"/>
        <v>1</v>
      </c>
      <c r="S60" s="2">
        <v>117782</v>
      </c>
      <c r="T60" s="2">
        <v>617291.15</v>
      </c>
      <c r="U60" s="12">
        <f t="shared" si="6"/>
        <v>677890.80201832601</v>
      </c>
      <c r="V60">
        <f t="shared" si="7"/>
        <v>-60599.652018325985</v>
      </c>
    </row>
    <row r="61" spans="1:22" ht="14.25">
      <c r="A61" s="2" t="s">
        <v>36</v>
      </c>
      <c r="B61" s="3">
        <v>45748</v>
      </c>
      <c r="C61" s="2" t="s">
        <v>15</v>
      </c>
      <c r="D61" s="2" t="s">
        <v>21</v>
      </c>
      <c r="E61" s="2">
        <v>52952.12</v>
      </c>
      <c r="F61" s="2">
        <v>4377</v>
      </c>
      <c r="G61" s="2">
        <v>9.1999999999999998E-2</v>
      </c>
      <c r="H61" s="2">
        <v>14</v>
      </c>
      <c r="I61" s="2">
        <v>88.6</v>
      </c>
      <c r="J61" s="2">
        <v>13.59</v>
      </c>
      <c r="K61" s="2">
        <v>0</v>
      </c>
      <c r="L61" s="2">
        <v>3.1</v>
      </c>
      <c r="M61" s="5">
        <f t="shared" si="0"/>
        <v>0</v>
      </c>
      <c r="N61" s="5">
        <f t="shared" si="1"/>
        <v>0</v>
      </c>
      <c r="O61" s="5">
        <f t="shared" si="2"/>
        <v>1</v>
      </c>
      <c r="P61" s="5">
        <f t="shared" si="3"/>
        <v>0</v>
      </c>
      <c r="Q61" s="5">
        <f t="shared" si="4"/>
        <v>0</v>
      </c>
      <c r="R61" s="5">
        <f t="shared" si="5"/>
        <v>1</v>
      </c>
      <c r="S61" s="2">
        <v>86166.77</v>
      </c>
      <c r="T61" s="2">
        <v>553756.43000000005</v>
      </c>
      <c r="U61" s="12">
        <f t="shared" si="6"/>
        <v>578728.44183028291</v>
      </c>
      <c r="V61">
        <f t="shared" si="7"/>
        <v>-24972.011830282863</v>
      </c>
    </row>
    <row r="62" spans="1:22" ht="14.25">
      <c r="A62" s="2" t="s">
        <v>37</v>
      </c>
      <c r="B62" s="3">
        <v>45658</v>
      </c>
      <c r="C62" s="2" t="s">
        <v>24</v>
      </c>
      <c r="D62" s="2" t="s">
        <v>18</v>
      </c>
      <c r="E62" s="2">
        <v>74907.98</v>
      </c>
      <c r="F62" s="2">
        <v>5306</v>
      </c>
      <c r="G62" s="2">
        <v>6.2E-2</v>
      </c>
      <c r="H62" s="2">
        <v>16</v>
      </c>
      <c r="I62" s="2">
        <v>95.6</v>
      </c>
      <c r="J62" s="2">
        <v>1.02</v>
      </c>
      <c r="K62" s="2">
        <v>0</v>
      </c>
      <c r="L62" s="2">
        <v>3.7</v>
      </c>
      <c r="M62" s="5">
        <f t="shared" si="0"/>
        <v>0</v>
      </c>
      <c r="N62" s="5">
        <f t="shared" si="1"/>
        <v>1</v>
      </c>
      <c r="O62" s="5">
        <f t="shared" si="2"/>
        <v>0</v>
      </c>
      <c r="P62" s="5">
        <f t="shared" si="3"/>
        <v>0</v>
      </c>
      <c r="Q62" s="5">
        <f t="shared" si="4"/>
        <v>1</v>
      </c>
      <c r="R62" s="5">
        <f t="shared" si="5"/>
        <v>0</v>
      </c>
      <c r="S62" s="2">
        <v>144522.53</v>
      </c>
      <c r="T62" s="2">
        <v>749559.71</v>
      </c>
      <c r="U62" s="12">
        <f t="shared" si="6"/>
        <v>707714.77526902605</v>
      </c>
      <c r="V62">
        <f t="shared" si="7"/>
        <v>41844.93473097391</v>
      </c>
    </row>
    <row r="63" spans="1:22" ht="14.25">
      <c r="A63" s="2" t="s">
        <v>37</v>
      </c>
      <c r="B63" s="3">
        <v>45689</v>
      </c>
      <c r="C63" s="2" t="s">
        <v>24</v>
      </c>
      <c r="D63" s="2" t="s">
        <v>18</v>
      </c>
      <c r="E63" s="2">
        <v>37284.660000000003</v>
      </c>
      <c r="F63" s="2">
        <v>3928</v>
      </c>
      <c r="G63" s="2">
        <v>7.3999999999999996E-2</v>
      </c>
      <c r="H63" s="2">
        <v>12</v>
      </c>
      <c r="I63" s="2">
        <v>86.5</v>
      </c>
      <c r="J63" s="2">
        <v>1.64</v>
      </c>
      <c r="K63" s="2">
        <v>0</v>
      </c>
      <c r="L63" s="2">
        <v>3.8</v>
      </c>
      <c r="M63" s="5">
        <f t="shared" si="0"/>
        <v>0</v>
      </c>
      <c r="N63" s="5">
        <f t="shared" si="1"/>
        <v>1</v>
      </c>
      <c r="O63" s="5">
        <f t="shared" si="2"/>
        <v>0</v>
      </c>
      <c r="P63" s="5">
        <f t="shared" si="3"/>
        <v>0</v>
      </c>
      <c r="Q63" s="5">
        <f t="shared" si="4"/>
        <v>1</v>
      </c>
      <c r="R63" s="5">
        <f t="shared" si="5"/>
        <v>0</v>
      </c>
      <c r="S63" s="2">
        <v>91509.38</v>
      </c>
      <c r="T63" s="2">
        <v>615966.48</v>
      </c>
      <c r="U63" s="12">
        <f t="shared" si="6"/>
        <v>581248.66316167277</v>
      </c>
      <c r="V63">
        <f t="shared" si="7"/>
        <v>34717.816838327213</v>
      </c>
    </row>
    <row r="64" spans="1:22" ht="14.25">
      <c r="A64" s="2" t="s">
        <v>37</v>
      </c>
      <c r="B64" s="3">
        <v>45717</v>
      </c>
      <c r="C64" s="2" t="s">
        <v>24</v>
      </c>
      <c r="D64" s="2" t="s">
        <v>18</v>
      </c>
      <c r="E64" s="2">
        <v>50343.19</v>
      </c>
      <c r="F64" s="2">
        <v>3845</v>
      </c>
      <c r="G64" s="2">
        <v>0.113</v>
      </c>
      <c r="H64" s="2">
        <v>9</v>
      </c>
      <c r="I64" s="2">
        <v>88.7</v>
      </c>
      <c r="J64" s="2">
        <v>5.15</v>
      </c>
      <c r="K64" s="2">
        <v>0</v>
      </c>
      <c r="L64" s="2">
        <v>3.3</v>
      </c>
      <c r="M64" s="5">
        <f t="shared" si="0"/>
        <v>0</v>
      </c>
      <c r="N64" s="5">
        <f t="shared" si="1"/>
        <v>1</v>
      </c>
      <c r="O64" s="5">
        <f t="shared" si="2"/>
        <v>0</v>
      </c>
      <c r="P64" s="5">
        <f t="shared" si="3"/>
        <v>0</v>
      </c>
      <c r="Q64" s="5">
        <f t="shared" si="4"/>
        <v>1</v>
      </c>
      <c r="R64" s="5">
        <f t="shared" si="5"/>
        <v>0</v>
      </c>
      <c r="S64" s="2">
        <v>101409.68</v>
      </c>
      <c r="T64" s="2">
        <v>572011.19999999995</v>
      </c>
      <c r="U64" s="12">
        <f t="shared" si="6"/>
        <v>571060.33941897948</v>
      </c>
      <c r="V64">
        <f t="shared" si="7"/>
        <v>950.86058102047537</v>
      </c>
    </row>
    <row r="65" spans="1:22" ht="14.25">
      <c r="A65" s="2" t="s">
        <v>37</v>
      </c>
      <c r="B65" s="3">
        <v>45748</v>
      </c>
      <c r="C65" s="2" t="s">
        <v>24</v>
      </c>
      <c r="D65" s="2" t="s">
        <v>18</v>
      </c>
      <c r="E65" s="2">
        <v>74954.47</v>
      </c>
      <c r="F65" s="2">
        <v>6620</v>
      </c>
      <c r="G65" s="2">
        <v>5.3999999999999999E-2</v>
      </c>
      <c r="H65" s="2">
        <v>17</v>
      </c>
      <c r="I65" s="2">
        <v>91.1</v>
      </c>
      <c r="J65" s="2">
        <v>1.1100000000000001</v>
      </c>
      <c r="K65" s="2">
        <v>0</v>
      </c>
      <c r="L65" s="2">
        <v>3.5</v>
      </c>
      <c r="M65" s="5">
        <f t="shared" si="0"/>
        <v>0</v>
      </c>
      <c r="N65" s="5">
        <f t="shared" si="1"/>
        <v>1</v>
      </c>
      <c r="O65" s="5">
        <f t="shared" si="2"/>
        <v>0</v>
      </c>
      <c r="P65" s="5">
        <f t="shared" si="3"/>
        <v>0</v>
      </c>
      <c r="Q65" s="5">
        <f t="shared" si="4"/>
        <v>1</v>
      </c>
      <c r="R65" s="5">
        <f t="shared" si="5"/>
        <v>0</v>
      </c>
      <c r="S65" s="2">
        <v>133279.38</v>
      </c>
      <c r="T65" s="2">
        <v>761860.19</v>
      </c>
      <c r="U65" s="12">
        <f t="shared" si="6"/>
        <v>730937.86093083909</v>
      </c>
      <c r="V65">
        <f t="shared" si="7"/>
        <v>30922.329069160856</v>
      </c>
    </row>
    <row r="66" spans="1:22" ht="14.25">
      <c r="A66" s="2" t="s">
        <v>38</v>
      </c>
      <c r="B66" s="3">
        <v>45658</v>
      </c>
      <c r="C66" s="2" t="s">
        <v>27</v>
      </c>
      <c r="D66" s="2" t="s">
        <v>18</v>
      </c>
      <c r="E66" s="2">
        <v>70040.31</v>
      </c>
      <c r="F66" s="2">
        <v>9175</v>
      </c>
      <c r="G66" s="2">
        <v>0.107</v>
      </c>
      <c r="H66" s="2">
        <v>23</v>
      </c>
      <c r="I66" s="2">
        <v>95.1</v>
      </c>
      <c r="J66" s="2">
        <v>6.08</v>
      </c>
      <c r="K66" s="2">
        <v>1</v>
      </c>
      <c r="L66" s="2">
        <v>3.4</v>
      </c>
      <c r="M66" s="5">
        <f t="shared" si="0"/>
        <v>0</v>
      </c>
      <c r="N66" s="5">
        <f t="shared" si="1"/>
        <v>0</v>
      </c>
      <c r="O66" s="5">
        <f t="shared" si="2"/>
        <v>0</v>
      </c>
      <c r="P66" s="5">
        <f t="shared" si="3"/>
        <v>0</v>
      </c>
      <c r="Q66" s="5">
        <f t="shared" si="4"/>
        <v>1</v>
      </c>
      <c r="R66" s="5">
        <f t="shared" si="5"/>
        <v>0</v>
      </c>
      <c r="S66" s="2">
        <v>129519.72</v>
      </c>
      <c r="T66" s="2">
        <v>784502.68</v>
      </c>
      <c r="U66" s="12">
        <f t="shared" si="6"/>
        <v>826970.20378500258</v>
      </c>
      <c r="V66">
        <f t="shared" si="7"/>
        <v>-42467.52378500253</v>
      </c>
    </row>
    <row r="67" spans="1:22" ht="14.25">
      <c r="A67" s="2" t="s">
        <v>38</v>
      </c>
      <c r="B67" s="3">
        <v>45689</v>
      </c>
      <c r="C67" s="2" t="s">
        <v>27</v>
      </c>
      <c r="D67" s="2" t="s">
        <v>18</v>
      </c>
      <c r="E67" s="2">
        <v>51148.69</v>
      </c>
      <c r="F67" s="2">
        <v>7940</v>
      </c>
      <c r="G67" s="2">
        <v>0.156</v>
      </c>
      <c r="H67" s="2">
        <v>18</v>
      </c>
      <c r="I67" s="2">
        <v>93.3</v>
      </c>
      <c r="J67" s="2">
        <v>10.91</v>
      </c>
      <c r="K67" s="2">
        <v>0</v>
      </c>
      <c r="L67" s="2">
        <v>3.6</v>
      </c>
      <c r="M67" s="5">
        <f t="shared" si="0"/>
        <v>0</v>
      </c>
      <c r="N67" s="5">
        <f t="shared" si="1"/>
        <v>0</v>
      </c>
      <c r="O67" s="5">
        <f t="shared" si="2"/>
        <v>0</v>
      </c>
      <c r="P67" s="5">
        <f t="shared" si="3"/>
        <v>0</v>
      </c>
      <c r="Q67" s="5">
        <f t="shared" si="4"/>
        <v>1</v>
      </c>
      <c r="R67" s="5">
        <f t="shared" si="5"/>
        <v>0</v>
      </c>
      <c r="S67" s="2">
        <v>134013.60999999999</v>
      </c>
      <c r="T67" s="2">
        <v>717141.55</v>
      </c>
      <c r="U67" s="12">
        <f t="shared" ref="U67:U130" si="8">66915.46892
+(1.209928492*E67)
+(27.33619482*F67)
+(-41243.14883*G67)
+(3508.399163*H67)
+(3062.210286*I67)
+(-3438.10791*J67)
+(15157.28728*K67)
+(12509.46131*L67)
+(-15342.70531*M67)
+(-4201.853217*N67)
+(-25291.41891*O67)
+(32832.85351*P67)
+(20219.25907*Q67)
+(44695.0949*R67)</f>
        <v>716016.1490384955</v>
      </c>
      <c r="V67">
        <f t="shared" ref="V67:V130" si="9">T67-U67</f>
        <v>1125.4009615045507</v>
      </c>
    </row>
    <row r="68" spans="1:22" ht="14.25">
      <c r="A68" s="2" t="s">
        <v>38</v>
      </c>
      <c r="B68" s="3">
        <v>45717</v>
      </c>
      <c r="C68" s="2" t="s">
        <v>27</v>
      </c>
      <c r="D68" s="2" t="s">
        <v>18</v>
      </c>
      <c r="E68" s="2">
        <v>79346.100000000006</v>
      </c>
      <c r="F68" s="2">
        <v>9628</v>
      </c>
      <c r="G68" s="2">
        <v>0.10199999999999999</v>
      </c>
      <c r="H68" s="2">
        <v>20</v>
      </c>
      <c r="I68" s="2">
        <v>99</v>
      </c>
      <c r="J68" s="2">
        <v>19.010000000000002</v>
      </c>
      <c r="K68" s="2">
        <v>1</v>
      </c>
      <c r="L68" s="2">
        <v>3.2</v>
      </c>
      <c r="M68" s="5">
        <f t="shared" si="0"/>
        <v>0</v>
      </c>
      <c r="N68" s="5">
        <f t="shared" si="1"/>
        <v>0</v>
      </c>
      <c r="O68" s="5">
        <f t="shared" si="2"/>
        <v>0</v>
      </c>
      <c r="P68" s="5">
        <f t="shared" si="3"/>
        <v>0</v>
      </c>
      <c r="Q68" s="5">
        <f t="shared" si="4"/>
        <v>1</v>
      </c>
      <c r="R68" s="5">
        <f t="shared" si="5"/>
        <v>0</v>
      </c>
      <c r="S68" s="2">
        <v>106898.82</v>
      </c>
      <c r="T68" s="2">
        <v>685379.08</v>
      </c>
      <c r="U68" s="12">
        <f t="shared" si="8"/>
        <v>805279.85133228125</v>
      </c>
      <c r="V68">
        <f t="shared" si="9"/>
        <v>-119900.77133228129</v>
      </c>
    </row>
    <row r="69" spans="1:22" ht="14.25">
      <c r="A69" s="2" t="s">
        <v>38</v>
      </c>
      <c r="B69" s="3">
        <v>45748</v>
      </c>
      <c r="C69" s="2" t="s">
        <v>27</v>
      </c>
      <c r="D69" s="2" t="s">
        <v>18</v>
      </c>
      <c r="E69" s="2">
        <v>42018.400000000001</v>
      </c>
      <c r="F69" s="2">
        <v>8296</v>
      </c>
      <c r="G69" s="2">
        <v>0.115</v>
      </c>
      <c r="H69" s="2">
        <v>17</v>
      </c>
      <c r="I69" s="2">
        <v>91.8</v>
      </c>
      <c r="J69" s="2">
        <v>0.77</v>
      </c>
      <c r="K69" s="2">
        <v>0</v>
      </c>
      <c r="L69" s="2">
        <v>3.4</v>
      </c>
      <c r="M69" s="5">
        <f t="shared" si="0"/>
        <v>0</v>
      </c>
      <c r="N69" s="5">
        <f t="shared" si="1"/>
        <v>0</v>
      </c>
      <c r="O69" s="5">
        <f t="shared" si="2"/>
        <v>0</v>
      </c>
      <c r="P69" s="5">
        <f t="shared" si="3"/>
        <v>0</v>
      </c>
      <c r="Q69" s="5">
        <f t="shared" si="4"/>
        <v>1</v>
      </c>
      <c r="R69" s="5">
        <f t="shared" si="5"/>
        <v>0</v>
      </c>
      <c r="S69" s="2">
        <v>128020.9</v>
      </c>
      <c r="T69" s="2">
        <v>740496.65</v>
      </c>
      <c r="U69" s="12">
        <f t="shared" si="8"/>
        <v>740650.61283862288</v>
      </c>
      <c r="V69">
        <f t="shared" si="9"/>
        <v>-153.96283862285782</v>
      </c>
    </row>
    <row r="70" spans="1:22" ht="14.25">
      <c r="A70" s="2" t="s">
        <v>39</v>
      </c>
      <c r="B70" s="3">
        <v>45658</v>
      </c>
      <c r="C70" s="2" t="s">
        <v>15</v>
      </c>
      <c r="D70" s="2" t="s">
        <v>18</v>
      </c>
      <c r="E70" s="2">
        <v>70937.240000000005</v>
      </c>
      <c r="F70" s="2">
        <v>3595</v>
      </c>
      <c r="G70" s="2">
        <v>0.14099999999999999</v>
      </c>
      <c r="H70" s="2">
        <v>11</v>
      </c>
      <c r="I70" s="2">
        <v>88.9</v>
      </c>
      <c r="J70" s="2">
        <v>2.83</v>
      </c>
      <c r="K70" s="2">
        <v>1</v>
      </c>
      <c r="L70" s="2">
        <v>3.3</v>
      </c>
      <c r="M70" s="5">
        <f t="shared" si="0"/>
        <v>0</v>
      </c>
      <c r="N70" s="5">
        <f t="shared" si="1"/>
        <v>0</v>
      </c>
      <c r="O70" s="5">
        <f t="shared" si="2"/>
        <v>1</v>
      </c>
      <c r="P70" s="5">
        <f t="shared" si="3"/>
        <v>0</v>
      </c>
      <c r="Q70" s="5">
        <f t="shared" si="4"/>
        <v>1</v>
      </c>
      <c r="R70" s="5">
        <f t="shared" si="5"/>
        <v>0</v>
      </c>
      <c r="S70" s="2">
        <v>79218.570000000007</v>
      </c>
      <c r="T70" s="2">
        <v>661927.14</v>
      </c>
      <c r="U70" s="12">
        <f t="shared" si="8"/>
        <v>597662.18272881221</v>
      </c>
      <c r="V70">
        <f t="shared" si="9"/>
        <v>64264.957271187799</v>
      </c>
    </row>
    <row r="71" spans="1:22" ht="14.25">
      <c r="A71" s="2" t="s">
        <v>39</v>
      </c>
      <c r="B71" s="3">
        <v>45689</v>
      </c>
      <c r="C71" s="2" t="s">
        <v>15</v>
      </c>
      <c r="D71" s="2" t="s">
        <v>18</v>
      </c>
      <c r="E71" s="2">
        <v>36813.449999999997</v>
      </c>
      <c r="F71" s="2">
        <v>2834</v>
      </c>
      <c r="G71" s="2">
        <v>0.191</v>
      </c>
      <c r="H71" s="2">
        <v>11</v>
      </c>
      <c r="I71" s="2">
        <v>81.8</v>
      </c>
      <c r="J71" s="2">
        <v>2.33</v>
      </c>
      <c r="K71" s="2">
        <v>0</v>
      </c>
      <c r="L71" s="2">
        <v>3.3</v>
      </c>
      <c r="M71" s="5">
        <f t="shared" si="0"/>
        <v>0</v>
      </c>
      <c r="N71" s="5">
        <f t="shared" si="1"/>
        <v>0</v>
      </c>
      <c r="O71" s="5">
        <f t="shared" si="2"/>
        <v>1</v>
      </c>
      <c r="P71" s="5">
        <f t="shared" si="3"/>
        <v>0</v>
      </c>
      <c r="Q71" s="5">
        <f t="shared" si="4"/>
        <v>1</v>
      </c>
      <c r="R71" s="5">
        <f t="shared" si="5"/>
        <v>0</v>
      </c>
      <c r="S71" s="2">
        <v>53651.11</v>
      </c>
      <c r="T71" s="2">
        <v>479050.5</v>
      </c>
      <c r="U71" s="12">
        <f t="shared" si="8"/>
        <v>498329.90889766742</v>
      </c>
      <c r="V71">
        <f t="shared" si="9"/>
        <v>-19279.408897667425</v>
      </c>
    </row>
    <row r="72" spans="1:22" ht="14.25">
      <c r="A72" s="2" t="s">
        <v>39</v>
      </c>
      <c r="B72" s="3">
        <v>45717</v>
      </c>
      <c r="C72" s="2" t="s">
        <v>15</v>
      </c>
      <c r="D72" s="2" t="s">
        <v>18</v>
      </c>
      <c r="E72" s="2">
        <v>60571.82</v>
      </c>
      <c r="F72" s="2">
        <v>3193</v>
      </c>
      <c r="G72" s="2">
        <v>0.19700000000000001</v>
      </c>
      <c r="H72" s="2">
        <v>7</v>
      </c>
      <c r="I72" s="2">
        <v>99</v>
      </c>
      <c r="J72" s="2">
        <v>1.43</v>
      </c>
      <c r="K72" s="2">
        <v>0</v>
      </c>
      <c r="L72" s="2">
        <v>3.2</v>
      </c>
      <c r="M72" s="5">
        <f t="shared" si="0"/>
        <v>0</v>
      </c>
      <c r="N72" s="5">
        <f t="shared" si="1"/>
        <v>0</v>
      </c>
      <c r="O72" s="5">
        <f t="shared" si="2"/>
        <v>1</v>
      </c>
      <c r="P72" s="5">
        <f t="shared" si="3"/>
        <v>0</v>
      </c>
      <c r="Q72" s="5">
        <f t="shared" si="4"/>
        <v>1</v>
      </c>
      <c r="R72" s="5">
        <f t="shared" si="5"/>
        <v>0</v>
      </c>
      <c r="S72" s="2">
        <v>98545.81</v>
      </c>
      <c r="T72" s="2">
        <v>605023.87</v>
      </c>
      <c r="U72" s="12">
        <f t="shared" si="8"/>
        <v>577121.84398674546</v>
      </c>
      <c r="V72">
        <f t="shared" si="9"/>
        <v>27902.026013254537</v>
      </c>
    </row>
    <row r="73" spans="1:22" ht="14.25">
      <c r="A73" s="2" t="s">
        <v>39</v>
      </c>
      <c r="B73" s="3">
        <v>45748</v>
      </c>
      <c r="C73" s="2" t="s">
        <v>15</v>
      </c>
      <c r="D73" s="2" t="s">
        <v>18</v>
      </c>
      <c r="E73" s="2">
        <v>55081.16</v>
      </c>
      <c r="F73" s="2">
        <v>5485</v>
      </c>
      <c r="G73" s="2">
        <v>3.5999999999999997E-2</v>
      </c>
      <c r="H73" s="2">
        <v>12</v>
      </c>
      <c r="I73" s="2">
        <v>88</v>
      </c>
      <c r="J73" s="2">
        <v>3.3650000000000002</v>
      </c>
      <c r="K73" s="2">
        <v>0</v>
      </c>
      <c r="L73" s="2">
        <v>3.5</v>
      </c>
      <c r="M73" s="5">
        <f t="shared" si="0"/>
        <v>0</v>
      </c>
      <c r="N73" s="5">
        <f t="shared" si="1"/>
        <v>0</v>
      </c>
      <c r="O73" s="5">
        <f t="shared" si="2"/>
        <v>1</v>
      </c>
      <c r="P73" s="5">
        <f t="shared" si="3"/>
        <v>0</v>
      </c>
      <c r="Q73" s="5">
        <f t="shared" si="4"/>
        <v>1</v>
      </c>
      <c r="R73" s="5">
        <f t="shared" si="5"/>
        <v>0</v>
      </c>
      <c r="S73" s="2">
        <v>141917.59</v>
      </c>
      <c r="T73" s="2">
        <v>674774.09</v>
      </c>
      <c r="U73" s="12">
        <f t="shared" si="8"/>
        <v>620731.02575808065</v>
      </c>
      <c r="V73">
        <f t="shared" si="9"/>
        <v>54043.064241919317</v>
      </c>
    </row>
    <row r="74" spans="1:22" ht="14.25">
      <c r="A74" s="2" t="s">
        <v>40</v>
      </c>
      <c r="B74" s="3">
        <v>45658</v>
      </c>
      <c r="C74" s="2" t="s">
        <v>15</v>
      </c>
      <c r="D74" s="2" t="s">
        <v>16</v>
      </c>
      <c r="E74" s="2">
        <v>46201.46</v>
      </c>
      <c r="F74" s="2">
        <v>5918</v>
      </c>
      <c r="G74" s="2">
        <v>0.27700000000000002</v>
      </c>
      <c r="H74" s="2">
        <v>13</v>
      </c>
      <c r="I74" s="2">
        <v>78.8</v>
      </c>
      <c r="J74" s="2">
        <v>4.91</v>
      </c>
      <c r="K74" s="2">
        <v>0</v>
      </c>
      <c r="L74" s="2">
        <v>4.5</v>
      </c>
      <c r="M74" s="5">
        <f t="shared" si="0"/>
        <v>0</v>
      </c>
      <c r="N74" s="5">
        <f t="shared" si="1"/>
        <v>0</v>
      </c>
      <c r="O74" s="5">
        <f t="shared" si="2"/>
        <v>1</v>
      </c>
      <c r="P74" s="5">
        <f t="shared" si="3"/>
        <v>0</v>
      </c>
      <c r="Q74" s="5">
        <f t="shared" si="4"/>
        <v>0</v>
      </c>
      <c r="R74" s="5">
        <f t="shared" si="5"/>
        <v>0</v>
      </c>
      <c r="S74" s="2">
        <v>54453.99</v>
      </c>
      <c r="T74" s="2">
        <v>616069.41</v>
      </c>
      <c r="U74" s="12">
        <f t="shared" si="8"/>
        <v>574198.5872675482</v>
      </c>
      <c r="V74">
        <f t="shared" si="9"/>
        <v>41870.822732451838</v>
      </c>
    </row>
    <row r="75" spans="1:22" ht="14.25">
      <c r="A75" s="2" t="s">
        <v>40</v>
      </c>
      <c r="B75" s="3">
        <v>45689</v>
      </c>
      <c r="C75" s="2" t="s">
        <v>15</v>
      </c>
      <c r="D75" s="2" t="s">
        <v>16</v>
      </c>
      <c r="E75" s="2">
        <v>53762.92</v>
      </c>
      <c r="F75" s="2">
        <v>6821</v>
      </c>
      <c r="G75" s="2">
        <v>6.6000000000000003E-2</v>
      </c>
      <c r="H75" s="2">
        <v>19</v>
      </c>
      <c r="I75" s="2">
        <v>94.6</v>
      </c>
      <c r="J75" s="2">
        <v>7.03</v>
      </c>
      <c r="K75" s="2">
        <v>0</v>
      </c>
      <c r="L75" s="2">
        <v>4.4000000000000004</v>
      </c>
      <c r="M75" s="5">
        <f t="shared" si="0"/>
        <v>0</v>
      </c>
      <c r="N75" s="5">
        <f t="shared" si="1"/>
        <v>0</v>
      </c>
      <c r="O75" s="5">
        <f t="shared" si="2"/>
        <v>1</v>
      </c>
      <c r="P75" s="5">
        <f t="shared" si="3"/>
        <v>0</v>
      </c>
      <c r="Q75" s="5">
        <f t="shared" si="4"/>
        <v>0</v>
      </c>
      <c r="R75" s="5">
        <f t="shared" si="5"/>
        <v>0</v>
      </c>
      <c r="S75" s="2">
        <v>117090.02</v>
      </c>
      <c r="T75" s="2">
        <v>630829.93999999994</v>
      </c>
      <c r="U75" s="12">
        <f t="shared" si="8"/>
        <v>677627.8840848566</v>
      </c>
      <c r="V75">
        <f t="shared" si="9"/>
        <v>-46797.944084856659</v>
      </c>
    </row>
    <row r="76" spans="1:22" ht="14.25">
      <c r="A76" s="2" t="s">
        <v>40</v>
      </c>
      <c r="B76" s="3">
        <v>45717</v>
      </c>
      <c r="C76" s="2" t="s">
        <v>15</v>
      </c>
      <c r="D76" s="2" t="s">
        <v>16</v>
      </c>
      <c r="E76" s="2">
        <v>70144.78</v>
      </c>
      <c r="F76" s="2">
        <v>6806</v>
      </c>
      <c r="G76" s="2">
        <v>0.17799999999999999</v>
      </c>
      <c r="H76" s="2">
        <v>20</v>
      </c>
      <c r="I76" s="2">
        <v>93.1</v>
      </c>
      <c r="J76" s="2">
        <v>0.28000000000000003</v>
      </c>
      <c r="K76" s="2">
        <v>1</v>
      </c>
      <c r="L76" s="2">
        <v>4.3</v>
      </c>
      <c r="M76" s="5">
        <f t="shared" si="0"/>
        <v>0</v>
      </c>
      <c r="N76" s="5">
        <f t="shared" si="1"/>
        <v>0</v>
      </c>
      <c r="O76" s="5">
        <f t="shared" si="2"/>
        <v>1</v>
      </c>
      <c r="P76" s="5">
        <f t="shared" si="3"/>
        <v>0</v>
      </c>
      <c r="Q76" s="5">
        <f t="shared" si="4"/>
        <v>0</v>
      </c>
      <c r="R76" s="5">
        <f t="shared" si="5"/>
        <v>0</v>
      </c>
      <c r="S76" s="2">
        <v>116803.42</v>
      </c>
      <c r="T76" s="2">
        <v>788087.68</v>
      </c>
      <c r="U76" s="12">
        <f t="shared" si="8"/>
        <v>728448.14093505172</v>
      </c>
      <c r="V76">
        <f t="shared" si="9"/>
        <v>59639.539064948331</v>
      </c>
    </row>
    <row r="77" spans="1:22" ht="14.25">
      <c r="A77" s="2" t="s">
        <v>40</v>
      </c>
      <c r="B77" s="3">
        <v>45748</v>
      </c>
      <c r="C77" s="2" t="s">
        <v>15</v>
      </c>
      <c r="D77" s="2" t="s">
        <v>16</v>
      </c>
      <c r="E77" s="2">
        <v>58749.63</v>
      </c>
      <c r="F77" s="2">
        <v>8252</v>
      </c>
      <c r="G77" s="2">
        <v>0.20300000000000001</v>
      </c>
      <c r="H77" s="2">
        <v>20</v>
      </c>
      <c r="I77" s="2">
        <v>85.2</v>
      </c>
      <c r="J77" s="2">
        <v>3.61</v>
      </c>
      <c r="K77" s="2">
        <v>0</v>
      </c>
      <c r="L77" s="2">
        <v>4.5</v>
      </c>
      <c r="M77" s="5">
        <f t="shared" si="0"/>
        <v>0</v>
      </c>
      <c r="N77" s="5">
        <f t="shared" si="1"/>
        <v>0</v>
      </c>
      <c r="O77" s="5">
        <f t="shared" si="2"/>
        <v>1</v>
      </c>
      <c r="P77" s="5">
        <f t="shared" si="3"/>
        <v>0</v>
      </c>
      <c r="Q77" s="5">
        <f t="shared" si="4"/>
        <v>0</v>
      </c>
      <c r="R77" s="5">
        <f t="shared" si="5"/>
        <v>0</v>
      </c>
      <c r="S77" s="2">
        <v>68007.679999999993</v>
      </c>
      <c r="T77" s="2">
        <v>680840.36</v>
      </c>
      <c r="U77" s="12">
        <f t="shared" si="8"/>
        <v>704862.12765070796</v>
      </c>
      <c r="V77">
        <f t="shared" si="9"/>
        <v>-24021.767650707974</v>
      </c>
    </row>
    <row r="78" spans="1:22" ht="14.25">
      <c r="A78" s="2" t="s">
        <v>41</v>
      </c>
      <c r="B78" s="3">
        <v>45658</v>
      </c>
      <c r="C78" s="2" t="s">
        <v>24</v>
      </c>
      <c r="D78" s="2" t="s">
        <v>18</v>
      </c>
      <c r="E78" s="2">
        <v>56973.18</v>
      </c>
      <c r="F78" s="2">
        <v>6662</v>
      </c>
      <c r="G78" s="2">
        <v>0.1</v>
      </c>
      <c r="H78" s="2">
        <v>15</v>
      </c>
      <c r="I78" s="2">
        <v>77.7</v>
      </c>
      <c r="J78" s="2">
        <v>7.52</v>
      </c>
      <c r="K78" s="2">
        <v>1</v>
      </c>
      <c r="L78" s="2">
        <v>3.2</v>
      </c>
      <c r="M78" s="5">
        <f t="shared" si="0"/>
        <v>0</v>
      </c>
      <c r="N78" s="5">
        <f t="shared" si="1"/>
        <v>1</v>
      </c>
      <c r="O78" s="5">
        <f t="shared" si="2"/>
        <v>0</v>
      </c>
      <c r="P78" s="5">
        <f t="shared" si="3"/>
        <v>0</v>
      </c>
      <c r="Q78" s="5">
        <f t="shared" si="4"/>
        <v>1</v>
      </c>
      <c r="R78" s="5">
        <f t="shared" si="5"/>
        <v>0</v>
      </c>
      <c r="S78" s="2">
        <v>87022.45</v>
      </c>
      <c r="T78" s="2">
        <v>643657.47</v>
      </c>
      <c r="U78" s="12">
        <f t="shared" si="8"/>
        <v>649748.48219868471</v>
      </c>
      <c r="V78">
        <f t="shared" si="9"/>
        <v>-6091.0121986847371</v>
      </c>
    </row>
    <row r="79" spans="1:22" ht="14.25">
      <c r="A79" s="2" t="s">
        <v>41</v>
      </c>
      <c r="B79" s="3">
        <v>45689</v>
      </c>
      <c r="C79" s="2" t="s">
        <v>24</v>
      </c>
      <c r="D79" s="2" t="s">
        <v>18</v>
      </c>
      <c r="E79" s="2">
        <v>54872.82</v>
      </c>
      <c r="F79" s="2">
        <v>5962</v>
      </c>
      <c r="G79" s="2">
        <v>6.4000000000000001E-2</v>
      </c>
      <c r="H79" s="2">
        <v>12</v>
      </c>
      <c r="I79" s="2">
        <v>85.4</v>
      </c>
      <c r="J79" s="2">
        <v>2.58</v>
      </c>
      <c r="K79" s="2">
        <v>0</v>
      </c>
      <c r="L79" s="2">
        <v>2.9</v>
      </c>
      <c r="M79" s="5">
        <f t="shared" si="0"/>
        <v>0</v>
      </c>
      <c r="N79" s="5">
        <f t="shared" si="1"/>
        <v>1</v>
      </c>
      <c r="O79" s="5">
        <f t="shared" si="2"/>
        <v>0</v>
      </c>
      <c r="P79" s="5">
        <f t="shared" si="3"/>
        <v>0</v>
      </c>
      <c r="Q79" s="5">
        <f t="shared" si="4"/>
        <v>1</v>
      </c>
      <c r="R79" s="5">
        <f t="shared" si="5"/>
        <v>0</v>
      </c>
      <c r="S79" s="2">
        <v>109212.83</v>
      </c>
      <c r="T79" s="2">
        <v>691112.6</v>
      </c>
      <c r="U79" s="12">
        <f t="shared" si="8"/>
        <v>640684.56289070728</v>
      </c>
      <c r="V79">
        <f t="shared" si="9"/>
        <v>50428.037109292694</v>
      </c>
    </row>
    <row r="80" spans="1:22" ht="14.25">
      <c r="A80" s="2" t="s">
        <v>41</v>
      </c>
      <c r="B80" s="3">
        <v>45717</v>
      </c>
      <c r="C80" s="2" t="s">
        <v>24</v>
      </c>
      <c r="D80" s="2" t="s">
        <v>18</v>
      </c>
      <c r="E80" s="2">
        <v>80562.81</v>
      </c>
      <c r="F80" s="2">
        <v>7470</v>
      </c>
      <c r="G80" s="2">
        <v>0.17199999999999999</v>
      </c>
      <c r="H80" s="2">
        <v>16</v>
      </c>
      <c r="I80" s="2">
        <v>83.5</v>
      </c>
      <c r="J80" s="2">
        <v>2.29</v>
      </c>
      <c r="K80" s="2">
        <v>0</v>
      </c>
      <c r="L80" s="2">
        <v>3.3</v>
      </c>
      <c r="M80" s="5">
        <f t="shared" si="0"/>
        <v>0</v>
      </c>
      <c r="N80" s="5">
        <f t="shared" si="1"/>
        <v>1</v>
      </c>
      <c r="O80" s="5">
        <f t="shared" si="2"/>
        <v>0</v>
      </c>
      <c r="P80" s="5">
        <f t="shared" si="3"/>
        <v>0</v>
      </c>
      <c r="Q80" s="5">
        <f t="shared" si="4"/>
        <v>1</v>
      </c>
      <c r="R80" s="5">
        <f t="shared" si="5"/>
        <v>0</v>
      </c>
      <c r="S80" s="2">
        <v>150701.93</v>
      </c>
      <c r="T80" s="2">
        <v>776922.17</v>
      </c>
      <c r="U80" s="12">
        <f t="shared" si="8"/>
        <v>722752.5683923224</v>
      </c>
      <c r="V80">
        <f t="shared" si="9"/>
        <v>54169.601607677643</v>
      </c>
    </row>
    <row r="81" spans="1:22" ht="14.25">
      <c r="A81" s="2" t="s">
        <v>41</v>
      </c>
      <c r="B81" s="3">
        <v>45748</v>
      </c>
      <c r="C81" s="2" t="s">
        <v>24</v>
      </c>
      <c r="D81" s="2" t="s">
        <v>18</v>
      </c>
      <c r="E81" s="2">
        <v>77999.899999999994</v>
      </c>
      <c r="F81" s="2">
        <v>5974</v>
      </c>
      <c r="G81" s="2">
        <v>0.252</v>
      </c>
      <c r="H81" s="2">
        <v>14</v>
      </c>
      <c r="I81" s="2">
        <v>81.3</v>
      </c>
      <c r="J81" s="2">
        <v>2.39</v>
      </c>
      <c r="K81" s="2">
        <v>0</v>
      </c>
      <c r="L81" s="2">
        <v>3.2</v>
      </c>
      <c r="M81" s="5">
        <f t="shared" si="0"/>
        <v>0</v>
      </c>
      <c r="N81" s="5">
        <f t="shared" si="1"/>
        <v>1</v>
      </c>
      <c r="O81" s="5">
        <f t="shared" si="2"/>
        <v>0</v>
      </c>
      <c r="P81" s="5">
        <f t="shared" si="3"/>
        <v>0</v>
      </c>
      <c r="Q81" s="5">
        <f t="shared" si="4"/>
        <v>1</v>
      </c>
      <c r="R81" s="5">
        <f t="shared" si="5"/>
        <v>0</v>
      </c>
      <c r="S81" s="2">
        <v>93861.06</v>
      </c>
      <c r="T81" s="2">
        <v>636561.34</v>
      </c>
      <c r="U81" s="12">
        <f t="shared" si="8"/>
        <v>660108.81332657079</v>
      </c>
      <c r="V81">
        <f t="shared" si="9"/>
        <v>-23547.47332657082</v>
      </c>
    </row>
    <row r="82" spans="1:22" ht="14.25">
      <c r="A82" s="2" t="s">
        <v>42</v>
      </c>
      <c r="B82" s="3">
        <v>45658</v>
      </c>
      <c r="C82" s="2" t="s">
        <v>27</v>
      </c>
      <c r="D82" s="2" t="s">
        <v>28</v>
      </c>
      <c r="E82" s="2">
        <v>60881.01</v>
      </c>
      <c r="F82" s="2">
        <v>5410</v>
      </c>
      <c r="G82" s="2">
        <v>0.17899999999999999</v>
      </c>
      <c r="H82" s="2">
        <v>15</v>
      </c>
      <c r="I82" s="2">
        <v>83.9</v>
      </c>
      <c r="J82" s="2">
        <v>5.24</v>
      </c>
      <c r="K82" s="2">
        <v>0</v>
      </c>
      <c r="L82" s="2">
        <v>4.5999999999999996</v>
      </c>
      <c r="M82" s="5">
        <f t="shared" si="0"/>
        <v>0</v>
      </c>
      <c r="N82" s="5">
        <f t="shared" si="1"/>
        <v>0</v>
      </c>
      <c r="O82" s="5">
        <f t="shared" si="2"/>
        <v>0</v>
      </c>
      <c r="P82" s="5">
        <f t="shared" si="3"/>
        <v>1</v>
      </c>
      <c r="Q82" s="5">
        <f t="shared" si="4"/>
        <v>0</v>
      </c>
      <c r="R82" s="5">
        <f t="shared" si="5"/>
        <v>0</v>
      </c>
      <c r="S82" s="2">
        <v>85493.64</v>
      </c>
      <c r="T82" s="2">
        <v>621369.57999999996</v>
      </c>
      <c r="U82" s="12">
        <f t="shared" si="8"/>
        <v>662989.54840436694</v>
      </c>
      <c r="V82">
        <f t="shared" si="9"/>
        <v>-41619.968404366984</v>
      </c>
    </row>
    <row r="83" spans="1:22" ht="14.25">
      <c r="A83" s="2" t="s">
        <v>42</v>
      </c>
      <c r="B83" s="3">
        <v>45689</v>
      </c>
      <c r="C83" s="2" t="s">
        <v>27</v>
      </c>
      <c r="D83" s="2" t="s">
        <v>28</v>
      </c>
      <c r="E83" s="2">
        <v>60628.38</v>
      </c>
      <c r="F83" s="2">
        <v>4451</v>
      </c>
      <c r="G83" s="2">
        <v>9.5000000000000001E-2</v>
      </c>
      <c r="H83" s="2">
        <v>10</v>
      </c>
      <c r="I83" s="2">
        <v>89.6</v>
      </c>
      <c r="J83" s="2">
        <v>3.17</v>
      </c>
      <c r="K83" s="2">
        <v>0</v>
      </c>
      <c r="L83" s="2">
        <v>4.5999999999999996</v>
      </c>
      <c r="M83" s="5">
        <f t="shared" si="0"/>
        <v>0</v>
      </c>
      <c r="N83" s="5">
        <f t="shared" si="1"/>
        <v>0</v>
      </c>
      <c r="O83" s="5">
        <f t="shared" si="2"/>
        <v>0</v>
      </c>
      <c r="P83" s="5">
        <f t="shared" si="3"/>
        <v>1</v>
      </c>
      <c r="Q83" s="5">
        <f t="shared" si="4"/>
        <v>0</v>
      </c>
      <c r="R83" s="5">
        <f t="shared" si="5"/>
        <v>0</v>
      </c>
      <c r="S83" s="2">
        <v>110318.84</v>
      </c>
      <c r="T83" s="2">
        <v>682208.01</v>
      </c>
      <c r="U83" s="12">
        <f t="shared" si="8"/>
        <v>646962.38402767293</v>
      </c>
      <c r="V83">
        <f t="shared" si="9"/>
        <v>35245.625972327078</v>
      </c>
    </row>
    <row r="84" spans="1:22" ht="14.25">
      <c r="A84" s="2" t="s">
        <v>42</v>
      </c>
      <c r="B84" s="3">
        <v>45717</v>
      </c>
      <c r="C84" s="2" t="s">
        <v>27</v>
      </c>
      <c r="D84" s="2" t="s">
        <v>28</v>
      </c>
      <c r="E84" s="2">
        <v>72731.14</v>
      </c>
      <c r="F84" s="2">
        <v>4644</v>
      </c>
      <c r="G84" s="2">
        <v>8.4000000000000005E-2</v>
      </c>
      <c r="H84" s="2">
        <v>15</v>
      </c>
      <c r="I84" s="2">
        <v>87.1</v>
      </c>
      <c r="J84" s="2">
        <v>2.66</v>
      </c>
      <c r="K84" s="2">
        <v>0</v>
      </c>
      <c r="L84" s="2">
        <v>4.5999999999999996</v>
      </c>
      <c r="M84" s="5">
        <f t="shared" si="0"/>
        <v>0</v>
      </c>
      <c r="N84" s="5">
        <f t="shared" si="1"/>
        <v>0</v>
      </c>
      <c r="O84" s="5">
        <f t="shared" si="2"/>
        <v>0</v>
      </c>
      <c r="P84" s="5">
        <f t="shared" si="3"/>
        <v>1</v>
      </c>
      <c r="Q84" s="5">
        <f t="shared" si="4"/>
        <v>0</v>
      </c>
      <c r="R84" s="5">
        <f t="shared" si="5"/>
        <v>0</v>
      </c>
      <c r="S84" s="2">
        <v>155810.29999999999</v>
      </c>
      <c r="T84" s="2">
        <v>727241.86</v>
      </c>
      <c r="U84" s="12">
        <f t="shared" si="8"/>
        <v>678975.32355500082</v>
      </c>
      <c r="V84">
        <f t="shared" si="9"/>
        <v>48266.536444999161</v>
      </c>
    </row>
    <row r="85" spans="1:22" ht="14.25">
      <c r="A85" s="2" t="s">
        <v>42</v>
      </c>
      <c r="B85" s="3">
        <v>45748</v>
      </c>
      <c r="C85" s="2" t="s">
        <v>27</v>
      </c>
      <c r="D85" s="2" t="s">
        <v>28</v>
      </c>
      <c r="E85" s="2">
        <v>36475.71</v>
      </c>
      <c r="F85" s="2">
        <v>3559</v>
      </c>
      <c r="G85" s="2">
        <v>0.03</v>
      </c>
      <c r="H85" s="2">
        <v>8</v>
      </c>
      <c r="I85" s="2">
        <v>83.6</v>
      </c>
      <c r="J85" s="2">
        <v>1.41</v>
      </c>
      <c r="K85" s="2">
        <v>0</v>
      </c>
      <c r="L85" s="2">
        <v>4.2</v>
      </c>
      <c r="M85" s="5">
        <f t="shared" si="0"/>
        <v>0</v>
      </c>
      <c r="N85" s="5">
        <f t="shared" si="1"/>
        <v>0</v>
      </c>
      <c r="O85" s="5">
        <f t="shared" si="2"/>
        <v>0</v>
      </c>
      <c r="P85" s="5">
        <f t="shared" si="3"/>
        <v>1</v>
      </c>
      <c r="Q85" s="5">
        <f t="shared" si="4"/>
        <v>0</v>
      </c>
      <c r="R85" s="5">
        <f t="shared" si="5"/>
        <v>0</v>
      </c>
      <c r="S85" s="2">
        <v>104808.78</v>
      </c>
      <c r="T85" s="2">
        <v>569100.78</v>
      </c>
      <c r="U85" s="12">
        <f t="shared" si="8"/>
        <v>571693.52468690928</v>
      </c>
      <c r="V85">
        <f t="shared" si="9"/>
        <v>-2592.7446869092528</v>
      </c>
    </row>
    <row r="86" spans="1:22" ht="14.25">
      <c r="A86" s="2" t="s">
        <v>43</v>
      </c>
      <c r="B86" s="3">
        <v>45658</v>
      </c>
      <c r="C86" s="2" t="s">
        <v>27</v>
      </c>
      <c r="D86" s="2" t="s">
        <v>18</v>
      </c>
      <c r="E86" s="2">
        <v>55388.11</v>
      </c>
      <c r="F86" s="2">
        <v>3091</v>
      </c>
      <c r="G86" s="2">
        <v>0.108</v>
      </c>
      <c r="H86" s="2">
        <v>7</v>
      </c>
      <c r="I86" s="2">
        <v>85.4</v>
      </c>
      <c r="J86" s="2">
        <v>7.34</v>
      </c>
      <c r="K86" s="2">
        <v>0</v>
      </c>
      <c r="L86" s="2">
        <v>4.9000000000000004</v>
      </c>
      <c r="M86" s="5">
        <f t="shared" si="0"/>
        <v>0</v>
      </c>
      <c r="N86" s="5">
        <f t="shared" si="1"/>
        <v>0</v>
      </c>
      <c r="O86" s="5">
        <f t="shared" si="2"/>
        <v>0</v>
      </c>
      <c r="P86" s="5">
        <f t="shared" si="3"/>
        <v>0</v>
      </c>
      <c r="Q86" s="5">
        <f t="shared" si="4"/>
        <v>1</v>
      </c>
      <c r="R86" s="5">
        <f t="shared" si="5"/>
        <v>0</v>
      </c>
      <c r="S86" s="2">
        <v>80271.990000000005</v>
      </c>
      <c r="T86" s="2">
        <v>574436.29</v>
      </c>
      <c r="U86" s="12">
        <f t="shared" si="8"/>
        <v>556324.49943701015</v>
      </c>
      <c r="V86">
        <f t="shared" si="9"/>
        <v>18111.790562989889</v>
      </c>
    </row>
    <row r="87" spans="1:22" ht="14.25">
      <c r="A87" s="2" t="s">
        <v>43</v>
      </c>
      <c r="B87" s="3">
        <v>45689</v>
      </c>
      <c r="C87" s="2" t="s">
        <v>27</v>
      </c>
      <c r="D87" s="2" t="s">
        <v>18</v>
      </c>
      <c r="E87" s="2">
        <v>88443.77</v>
      </c>
      <c r="F87" s="2">
        <v>4004</v>
      </c>
      <c r="G87" s="2">
        <v>0.20599999999999999</v>
      </c>
      <c r="H87" s="2">
        <v>11</v>
      </c>
      <c r="I87" s="2">
        <v>91.9</v>
      </c>
      <c r="J87" s="2">
        <v>5.95</v>
      </c>
      <c r="K87" s="2">
        <v>0</v>
      </c>
      <c r="L87" s="4">
        <v>3.9</v>
      </c>
      <c r="M87" s="5">
        <f t="shared" si="0"/>
        <v>0</v>
      </c>
      <c r="N87" s="5">
        <f t="shared" si="1"/>
        <v>0</v>
      </c>
      <c r="O87" s="5">
        <f t="shared" si="2"/>
        <v>0</v>
      </c>
      <c r="P87" s="5">
        <f t="shared" si="3"/>
        <v>0</v>
      </c>
      <c r="Q87" s="5">
        <f t="shared" si="4"/>
        <v>1</v>
      </c>
      <c r="R87" s="5">
        <f t="shared" si="5"/>
        <v>0</v>
      </c>
      <c r="S87" s="2">
        <v>88275.61</v>
      </c>
      <c r="T87" s="2">
        <v>611766.72</v>
      </c>
      <c r="U87" s="12">
        <f t="shared" si="8"/>
        <v>643443.07377409493</v>
      </c>
      <c r="V87">
        <f t="shared" si="9"/>
        <v>-31676.353774094954</v>
      </c>
    </row>
    <row r="88" spans="1:22" ht="14.25">
      <c r="A88" s="2" t="s">
        <v>43</v>
      </c>
      <c r="B88" s="3">
        <v>45717</v>
      </c>
      <c r="C88" s="2" t="s">
        <v>27</v>
      </c>
      <c r="D88" s="2" t="s">
        <v>18</v>
      </c>
      <c r="E88" s="2">
        <v>78231.91</v>
      </c>
      <c r="F88" s="2">
        <v>3788</v>
      </c>
      <c r="G88" s="2">
        <v>5.8999999999999997E-2</v>
      </c>
      <c r="H88" s="2">
        <v>11</v>
      </c>
      <c r="I88" s="2">
        <v>88.5</v>
      </c>
      <c r="J88" s="2">
        <v>15.51</v>
      </c>
      <c r="K88" s="2">
        <v>0</v>
      </c>
      <c r="L88" s="2">
        <v>4.3</v>
      </c>
      <c r="M88" s="5">
        <f t="shared" si="0"/>
        <v>0</v>
      </c>
      <c r="N88" s="5">
        <f t="shared" si="1"/>
        <v>0</v>
      </c>
      <c r="O88" s="5">
        <f t="shared" si="2"/>
        <v>0</v>
      </c>
      <c r="P88" s="5">
        <f t="shared" si="3"/>
        <v>0</v>
      </c>
      <c r="Q88" s="5">
        <f t="shared" si="4"/>
        <v>1</v>
      </c>
      <c r="R88" s="5">
        <f t="shared" si="5"/>
        <v>0</v>
      </c>
      <c r="S88" s="2">
        <v>131199.41</v>
      </c>
      <c r="T88" s="2">
        <v>614596.31999999995</v>
      </c>
      <c r="U88" s="12">
        <f t="shared" si="8"/>
        <v>592969.53613266977</v>
      </c>
      <c r="V88">
        <f t="shared" si="9"/>
        <v>21626.783867330174</v>
      </c>
    </row>
    <row r="89" spans="1:22" ht="14.25">
      <c r="A89" s="2" t="s">
        <v>43</v>
      </c>
      <c r="B89" s="3">
        <v>45748</v>
      </c>
      <c r="C89" s="2" t="s">
        <v>27</v>
      </c>
      <c r="D89" s="2" t="s">
        <v>18</v>
      </c>
      <c r="E89" s="2">
        <v>18996.32</v>
      </c>
      <c r="F89" s="2">
        <v>1260</v>
      </c>
      <c r="G89" s="2">
        <v>0.14499999999999999</v>
      </c>
      <c r="H89" s="2">
        <v>9</v>
      </c>
      <c r="I89" s="2">
        <v>86.4</v>
      </c>
      <c r="J89" s="2">
        <v>4.3099999999999996</v>
      </c>
      <c r="K89" s="2">
        <v>0</v>
      </c>
      <c r="L89" s="2">
        <v>4.5999999999999996</v>
      </c>
      <c r="M89" s="5">
        <f t="shared" si="0"/>
        <v>0</v>
      </c>
      <c r="N89" s="5">
        <f t="shared" si="1"/>
        <v>0</v>
      </c>
      <c r="O89" s="5">
        <f t="shared" si="2"/>
        <v>0</v>
      </c>
      <c r="P89" s="5">
        <f t="shared" si="3"/>
        <v>0</v>
      </c>
      <c r="Q89" s="5">
        <f t="shared" si="4"/>
        <v>1</v>
      </c>
      <c r="R89" s="5">
        <f t="shared" si="5"/>
        <v>0</v>
      </c>
      <c r="S89" s="2">
        <v>90043.76</v>
      </c>
      <c r="T89" s="2">
        <v>450711.92</v>
      </c>
      <c r="U89" s="12">
        <f t="shared" si="8"/>
        <v>477458.10380529938</v>
      </c>
      <c r="V89">
        <f t="shared" si="9"/>
        <v>-26746.183805299399</v>
      </c>
    </row>
    <row r="90" spans="1:22" ht="14.25">
      <c r="A90" s="2" t="s">
        <v>44</v>
      </c>
      <c r="B90" s="3">
        <v>45658</v>
      </c>
      <c r="C90" s="2" t="s">
        <v>24</v>
      </c>
      <c r="D90" s="2" t="s">
        <v>28</v>
      </c>
      <c r="E90" s="2">
        <v>50517.94</v>
      </c>
      <c r="F90" s="2">
        <v>7024</v>
      </c>
      <c r="G90" s="2">
        <v>2.9000000000000001E-2</v>
      </c>
      <c r="H90" s="2">
        <v>18</v>
      </c>
      <c r="I90" s="2">
        <v>79.2</v>
      </c>
      <c r="J90" s="2">
        <v>6.61</v>
      </c>
      <c r="K90" s="2">
        <v>1</v>
      </c>
      <c r="L90" s="2">
        <v>4.0999999999999996</v>
      </c>
      <c r="M90" s="5">
        <f t="shared" si="0"/>
        <v>0</v>
      </c>
      <c r="N90" s="5">
        <f t="shared" si="1"/>
        <v>1</v>
      </c>
      <c r="O90" s="5">
        <f t="shared" si="2"/>
        <v>0</v>
      </c>
      <c r="P90" s="5">
        <f t="shared" si="3"/>
        <v>1</v>
      </c>
      <c r="Q90" s="5">
        <f t="shared" si="4"/>
        <v>0</v>
      </c>
      <c r="R90" s="5">
        <f t="shared" si="5"/>
        <v>0</v>
      </c>
      <c r="S90" s="2">
        <v>105863.26</v>
      </c>
      <c r="T90" s="2">
        <v>711213.46</v>
      </c>
      <c r="U90" s="12">
        <f t="shared" si="8"/>
        <v>696881.37022685655</v>
      </c>
      <c r="V90">
        <f t="shared" si="9"/>
        <v>14332.089773143409</v>
      </c>
    </row>
    <row r="91" spans="1:22" ht="14.25">
      <c r="A91" s="2" t="s">
        <v>44</v>
      </c>
      <c r="B91" s="3">
        <v>45689</v>
      </c>
      <c r="C91" s="2" t="s">
        <v>24</v>
      </c>
      <c r="D91" s="2" t="s">
        <v>28</v>
      </c>
      <c r="E91" s="2">
        <v>141540.29</v>
      </c>
      <c r="F91" s="2">
        <v>5400</v>
      </c>
      <c r="G91" s="2">
        <v>1.2999999999999999E-2</v>
      </c>
      <c r="H91" s="2">
        <v>12</v>
      </c>
      <c r="I91" s="2">
        <v>87</v>
      </c>
      <c r="J91" s="2">
        <v>4.26</v>
      </c>
      <c r="K91" s="2">
        <v>0</v>
      </c>
      <c r="L91" s="2">
        <v>4.5</v>
      </c>
      <c r="M91" s="5">
        <f t="shared" si="0"/>
        <v>0</v>
      </c>
      <c r="N91" s="5">
        <f t="shared" si="1"/>
        <v>1</v>
      </c>
      <c r="O91" s="5">
        <f t="shared" si="2"/>
        <v>0</v>
      </c>
      <c r="P91" s="5">
        <f t="shared" si="3"/>
        <v>1</v>
      </c>
      <c r="Q91" s="5">
        <f t="shared" si="4"/>
        <v>0</v>
      </c>
      <c r="R91" s="5">
        <f t="shared" si="5"/>
        <v>0</v>
      </c>
      <c r="S91" s="2">
        <v>105772.75</v>
      </c>
      <c r="T91" s="2">
        <v>627171.9</v>
      </c>
      <c r="U91" s="12">
        <f t="shared" si="8"/>
        <v>764038.71097955271</v>
      </c>
      <c r="V91">
        <f t="shared" si="9"/>
        <v>-136866.81097955268</v>
      </c>
    </row>
    <row r="92" spans="1:22" ht="14.25">
      <c r="A92" s="2" t="s">
        <v>44</v>
      </c>
      <c r="B92" s="3">
        <v>45717</v>
      </c>
      <c r="C92" s="2" t="s">
        <v>24</v>
      </c>
      <c r="D92" s="2" t="s">
        <v>28</v>
      </c>
      <c r="E92" s="2">
        <v>82116.19</v>
      </c>
      <c r="F92" s="2">
        <v>5988</v>
      </c>
      <c r="G92" s="2">
        <v>0.04</v>
      </c>
      <c r="H92" s="2">
        <v>17</v>
      </c>
      <c r="I92" s="2">
        <v>91.8</v>
      </c>
      <c r="J92" s="2">
        <v>5.75</v>
      </c>
      <c r="K92" s="2">
        <v>0</v>
      </c>
      <c r="L92" s="2">
        <v>4.7</v>
      </c>
      <c r="M92" s="5">
        <f t="shared" si="0"/>
        <v>0</v>
      </c>
      <c r="N92" s="5">
        <f t="shared" si="1"/>
        <v>1</v>
      </c>
      <c r="O92" s="5">
        <f t="shared" si="2"/>
        <v>0</v>
      </c>
      <c r="P92" s="5">
        <f t="shared" si="3"/>
        <v>1</v>
      </c>
      <c r="Q92" s="5">
        <f t="shared" si="4"/>
        <v>0</v>
      </c>
      <c r="R92" s="5">
        <f t="shared" si="5"/>
        <v>0</v>
      </c>
      <c r="S92" s="2">
        <v>129386.43</v>
      </c>
      <c r="T92" s="2">
        <v>739852.58</v>
      </c>
      <c r="U92" s="12">
        <f t="shared" si="8"/>
        <v>736719.63347774558</v>
      </c>
      <c r="V92">
        <f t="shared" si="9"/>
        <v>3132.9465222543804</v>
      </c>
    </row>
    <row r="93" spans="1:22" ht="14.25">
      <c r="A93" s="2" t="s">
        <v>44</v>
      </c>
      <c r="B93" s="3">
        <v>45748</v>
      </c>
      <c r="C93" s="2" t="s">
        <v>24</v>
      </c>
      <c r="D93" s="2" t="s">
        <v>28</v>
      </c>
      <c r="E93" s="2">
        <v>31207.51</v>
      </c>
      <c r="F93" s="2">
        <v>3701</v>
      </c>
      <c r="G93" s="2">
        <v>4.2999999999999997E-2</v>
      </c>
      <c r="H93" s="2">
        <v>11</v>
      </c>
      <c r="I93" s="2">
        <v>84.7</v>
      </c>
      <c r="J93" s="2">
        <v>0.33</v>
      </c>
      <c r="K93" s="2">
        <v>0</v>
      </c>
      <c r="L93" s="2">
        <v>4.3</v>
      </c>
      <c r="M93" s="5">
        <f t="shared" si="0"/>
        <v>0</v>
      </c>
      <c r="N93" s="5">
        <f t="shared" si="1"/>
        <v>1</v>
      </c>
      <c r="O93" s="5">
        <f t="shared" si="2"/>
        <v>0</v>
      </c>
      <c r="P93" s="5">
        <f t="shared" si="3"/>
        <v>1</v>
      </c>
      <c r="Q93" s="5">
        <f t="shared" si="4"/>
        <v>0</v>
      </c>
      <c r="R93" s="5">
        <f t="shared" si="5"/>
        <v>0</v>
      </c>
      <c r="S93" s="2">
        <v>73927.850000000006</v>
      </c>
      <c r="T93" s="2">
        <v>586307.22</v>
      </c>
      <c r="U93" s="12">
        <f t="shared" si="8"/>
        <v>583320.83639540488</v>
      </c>
      <c r="V93">
        <f t="shared" si="9"/>
        <v>2986.3836045950884</v>
      </c>
    </row>
    <row r="94" spans="1:22" ht="14.25">
      <c r="A94" s="2" t="s">
        <v>45</v>
      </c>
      <c r="B94" s="3">
        <v>45658</v>
      </c>
      <c r="C94" s="2" t="s">
        <v>27</v>
      </c>
      <c r="D94" s="2" t="s">
        <v>16</v>
      </c>
      <c r="E94" s="2">
        <v>38966.589999999997</v>
      </c>
      <c r="F94" s="2">
        <v>4509</v>
      </c>
      <c r="G94" s="2">
        <v>0.19400000000000001</v>
      </c>
      <c r="H94" s="2">
        <v>14</v>
      </c>
      <c r="I94" s="2">
        <v>91.1</v>
      </c>
      <c r="J94" s="2">
        <v>2.92</v>
      </c>
      <c r="K94" s="2">
        <v>0</v>
      </c>
      <c r="L94" s="2">
        <v>4.5999999999999996</v>
      </c>
      <c r="M94" s="5">
        <f t="shared" si="0"/>
        <v>0</v>
      </c>
      <c r="N94" s="5">
        <f t="shared" si="1"/>
        <v>0</v>
      </c>
      <c r="O94" s="5">
        <f t="shared" si="2"/>
        <v>0</v>
      </c>
      <c r="P94" s="5">
        <f t="shared" si="3"/>
        <v>0</v>
      </c>
      <c r="Q94" s="5">
        <f t="shared" si="4"/>
        <v>0</v>
      </c>
      <c r="R94" s="5">
        <f t="shared" si="5"/>
        <v>0</v>
      </c>
      <c r="S94" s="2">
        <v>82624.2</v>
      </c>
      <c r="T94" s="2">
        <v>585937.48</v>
      </c>
      <c r="U94" s="12">
        <f t="shared" si="8"/>
        <v>604909.18023284234</v>
      </c>
      <c r="V94">
        <f t="shared" si="9"/>
        <v>-18971.700232842355</v>
      </c>
    </row>
    <row r="95" spans="1:22" ht="14.25">
      <c r="A95" s="2" t="s">
        <v>45</v>
      </c>
      <c r="B95" s="3">
        <v>45689</v>
      </c>
      <c r="C95" s="2" t="s">
        <v>27</v>
      </c>
      <c r="D95" s="2" t="s">
        <v>16</v>
      </c>
      <c r="E95" s="2">
        <v>67439.3</v>
      </c>
      <c r="F95" s="2">
        <v>6477</v>
      </c>
      <c r="G95" s="2">
        <v>0</v>
      </c>
      <c r="H95" s="2">
        <v>16</v>
      </c>
      <c r="I95" s="2">
        <v>90.9</v>
      </c>
      <c r="J95" s="2">
        <v>1.64</v>
      </c>
      <c r="K95" s="2">
        <v>0</v>
      </c>
      <c r="L95" s="2">
        <v>4.5</v>
      </c>
      <c r="M95" s="5">
        <f t="shared" si="0"/>
        <v>0</v>
      </c>
      <c r="N95" s="5">
        <f t="shared" si="1"/>
        <v>0</v>
      </c>
      <c r="O95" s="5">
        <f t="shared" si="2"/>
        <v>0</v>
      </c>
      <c r="P95" s="5">
        <f t="shared" si="3"/>
        <v>0</v>
      </c>
      <c r="Q95" s="5">
        <f t="shared" si="4"/>
        <v>0</v>
      </c>
      <c r="R95" s="5">
        <f t="shared" si="5"/>
        <v>0</v>
      </c>
      <c r="S95" s="2">
        <v>151527.22</v>
      </c>
      <c r="T95" s="2">
        <v>753473.55</v>
      </c>
      <c r="U95" s="12">
        <f t="shared" si="8"/>
        <v>710712.11384767562</v>
      </c>
      <c r="V95">
        <f t="shared" si="9"/>
        <v>42761.43615232443</v>
      </c>
    </row>
    <row r="96" spans="1:22" ht="14.25">
      <c r="A96" s="2" t="s">
        <v>45</v>
      </c>
      <c r="B96" s="3">
        <v>45717</v>
      </c>
      <c r="C96" s="2" t="s">
        <v>27</v>
      </c>
      <c r="D96" s="2" t="s">
        <v>16</v>
      </c>
      <c r="E96" s="2">
        <v>86421.88</v>
      </c>
      <c r="F96" s="2">
        <v>7970</v>
      </c>
      <c r="G96" s="2">
        <v>7.2999999999999995E-2</v>
      </c>
      <c r="H96" s="2">
        <v>17</v>
      </c>
      <c r="I96" s="2">
        <v>91.3</v>
      </c>
      <c r="J96" s="2">
        <v>0.8</v>
      </c>
      <c r="K96" s="2">
        <v>0</v>
      </c>
      <c r="L96" s="2">
        <v>5</v>
      </c>
      <c r="M96" s="5">
        <f t="shared" si="0"/>
        <v>0</v>
      </c>
      <c r="N96" s="5">
        <f t="shared" si="1"/>
        <v>0</v>
      </c>
      <c r="O96" s="5">
        <f t="shared" si="2"/>
        <v>0</v>
      </c>
      <c r="P96" s="5">
        <f t="shared" si="3"/>
        <v>0</v>
      </c>
      <c r="Q96" s="5">
        <f t="shared" si="4"/>
        <v>0</v>
      </c>
      <c r="R96" s="5">
        <f t="shared" si="5"/>
        <v>0</v>
      </c>
      <c r="S96" s="2">
        <v>122939.34</v>
      </c>
      <c r="T96" s="2">
        <v>838250.32</v>
      </c>
      <c r="U96" s="12">
        <f t="shared" si="8"/>
        <v>785357.89181981492</v>
      </c>
      <c r="V96">
        <f t="shared" si="9"/>
        <v>52892.42818018503</v>
      </c>
    </row>
    <row r="97" spans="1:22" ht="14.25">
      <c r="A97" s="2" t="s">
        <v>45</v>
      </c>
      <c r="B97" s="3">
        <v>45748</v>
      </c>
      <c r="C97" s="2" t="s">
        <v>27</v>
      </c>
      <c r="D97" s="2" t="s">
        <v>16</v>
      </c>
      <c r="E97" s="2">
        <v>9534.65</v>
      </c>
      <c r="F97" s="2">
        <v>6057</v>
      </c>
      <c r="G97" s="2">
        <v>7.3999999999999996E-2</v>
      </c>
      <c r="H97" s="2">
        <v>15</v>
      </c>
      <c r="I97" s="2">
        <v>94.1</v>
      </c>
      <c r="J97" s="2">
        <v>5.79</v>
      </c>
      <c r="K97" s="2">
        <v>0</v>
      </c>
      <c r="L97" s="2">
        <v>4.5</v>
      </c>
      <c r="M97" s="5">
        <f t="shared" si="0"/>
        <v>0</v>
      </c>
      <c r="N97" s="5">
        <f t="shared" si="1"/>
        <v>0</v>
      </c>
      <c r="O97" s="5">
        <f t="shared" si="2"/>
        <v>0</v>
      </c>
      <c r="P97" s="5">
        <f t="shared" si="3"/>
        <v>0</v>
      </c>
      <c r="Q97" s="5">
        <f t="shared" si="4"/>
        <v>0</v>
      </c>
      <c r="R97" s="5">
        <f t="shared" si="5"/>
        <v>0</v>
      </c>
      <c r="S97" s="2">
        <v>135404.85</v>
      </c>
      <c r="T97" s="2">
        <v>607898.12</v>
      </c>
      <c r="U97" s="12">
        <f t="shared" si="8"/>
        <v>618140.95908126782</v>
      </c>
      <c r="V97">
        <f t="shared" si="9"/>
        <v>-10242.839081267826</v>
      </c>
    </row>
    <row r="98" spans="1:22" ht="14.25">
      <c r="A98" s="2" t="s">
        <v>46</v>
      </c>
      <c r="B98" s="3">
        <v>45658</v>
      </c>
      <c r="C98" s="2" t="s">
        <v>27</v>
      </c>
      <c r="D98" s="2" t="s">
        <v>28</v>
      </c>
      <c r="E98" s="2">
        <v>61132.07</v>
      </c>
      <c r="F98" s="2">
        <v>6394</v>
      </c>
      <c r="G98" s="2">
        <v>0.16300000000000001</v>
      </c>
      <c r="H98" s="2">
        <v>19</v>
      </c>
      <c r="I98" s="2">
        <v>91</v>
      </c>
      <c r="J98" s="2">
        <v>19.600000000000001</v>
      </c>
      <c r="K98" s="2">
        <v>0</v>
      </c>
      <c r="L98" s="2">
        <v>4.4000000000000004</v>
      </c>
      <c r="M98" s="5">
        <f t="shared" si="0"/>
        <v>0</v>
      </c>
      <c r="N98" s="5">
        <f t="shared" si="1"/>
        <v>0</v>
      </c>
      <c r="O98" s="5">
        <f t="shared" si="2"/>
        <v>0</v>
      </c>
      <c r="P98" s="5">
        <f t="shared" si="3"/>
        <v>1</v>
      </c>
      <c r="Q98" s="5">
        <f t="shared" si="4"/>
        <v>0</v>
      </c>
      <c r="R98" s="5">
        <f t="shared" si="5"/>
        <v>0</v>
      </c>
      <c r="S98" s="2">
        <v>135145.44</v>
      </c>
      <c r="T98" s="2">
        <v>691113.62</v>
      </c>
      <c r="U98" s="12">
        <f t="shared" si="8"/>
        <v>674754.18696872855</v>
      </c>
      <c r="V98">
        <f t="shared" si="9"/>
        <v>16359.433031271445</v>
      </c>
    </row>
    <row r="99" spans="1:22" ht="14.25">
      <c r="A99" s="2" t="s">
        <v>46</v>
      </c>
      <c r="B99" s="3">
        <v>45689</v>
      </c>
      <c r="C99" s="2" t="s">
        <v>27</v>
      </c>
      <c r="D99" s="2" t="s">
        <v>28</v>
      </c>
      <c r="E99" s="2">
        <v>78839.39</v>
      </c>
      <c r="F99" s="2">
        <v>5150</v>
      </c>
      <c r="G99" s="2">
        <v>0.17100000000000001</v>
      </c>
      <c r="H99" s="2">
        <v>13</v>
      </c>
      <c r="I99" s="2">
        <v>85.8</v>
      </c>
      <c r="J99" s="2">
        <v>7.57</v>
      </c>
      <c r="K99" s="2">
        <v>0</v>
      </c>
      <c r="L99" s="2">
        <v>4.3</v>
      </c>
      <c r="M99" s="5">
        <f t="shared" si="0"/>
        <v>0</v>
      </c>
      <c r="N99" s="5">
        <f t="shared" si="1"/>
        <v>0</v>
      </c>
      <c r="O99" s="5">
        <f t="shared" si="2"/>
        <v>0</v>
      </c>
      <c r="P99" s="5">
        <f t="shared" si="3"/>
        <v>1</v>
      </c>
      <c r="Q99" s="5">
        <f t="shared" si="4"/>
        <v>0</v>
      </c>
      <c r="R99" s="5">
        <f t="shared" si="5"/>
        <v>0</v>
      </c>
      <c r="S99" s="2">
        <v>83895.96</v>
      </c>
      <c r="T99" s="2">
        <v>735509.4</v>
      </c>
      <c r="U99" s="12">
        <f t="shared" si="8"/>
        <v>664978.20996806992</v>
      </c>
      <c r="V99">
        <f t="shared" si="9"/>
        <v>70531.190031930106</v>
      </c>
    </row>
    <row r="100" spans="1:22" ht="14.25">
      <c r="A100" s="2" t="s">
        <v>46</v>
      </c>
      <c r="B100" s="3">
        <v>45717</v>
      </c>
      <c r="C100" s="2" t="s">
        <v>27</v>
      </c>
      <c r="D100" s="2" t="s">
        <v>28</v>
      </c>
      <c r="E100" s="2">
        <v>38752.800000000003</v>
      </c>
      <c r="F100" s="2">
        <v>4712</v>
      </c>
      <c r="G100" s="2">
        <v>7.4999999999999997E-2</v>
      </c>
      <c r="H100" s="2">
        <v>15</v>
      </c>
      <c r="I100" s="2">
        <v>89.7</v>
      </c>
      <c r="J100" s="2">
        <v>3.3650000000000002</v>
      </c>
      <c r="K100" s="2">
        <v>0</v>
      </c>
      <c r="L100" s="2">
        <v>4.3</v>
      </c>
      <c r="M100" s="5">
        <f t="shared" si="0"/>
        <v>0</v>
      </c>
      <c r="N100" s="5">
        <f t="shared" si="1"/>
        <v>0</v>
      </c>
      <c r="O100" s="5">
        <f t="shared" si="2"/>
        <v>0</v>
      </c>
      <c r="P100" s="5">
        <f t="shared" si="3"/>
        <v>1</v>
      </c>
      <c r="Q100" s="5">
        <f t="shared" si="4"/>
        <v>0</v>
      </c>
      <c r="R100" s="5">
        <f t="shared" si="5"/>
        <v>0</v>
      </c>
      <c r="S100" s="2">
        <v>107194.6</v>
      </c>
      <c r="T100" s="2">
        <v>605775.32999999996</v>
      </c>
      <c r="U100" s="12">
        <f t="shared" si="8"/>
        <v>641879.05373941758</v>
      </c>
      <c r="V100">
        <f t="shared" si="9"/>
        <v>-36103.723739417619</v>
      </c>
    </row>
    <row r="101" spans="1:22" ht="14.25">
      <c r="A101" s="2" t="s">
        <v>46</v>
      </c>
      <c r="B101" s="3">
        <v>45748</v>
      </c>
      <c r="C101" s="2" t="s">
        <v>27</v>
      </c>
      <c r="D101" s="2" t="s">
        <v>28</v>
      </c>
      <c r="E101" s="2">
        <v>55101.1</v>
      </c>
      <c r="F101" s="2">
        <v>5281</v>
      </c>
      <c r="G101" s="2">
        <v>0.189</v>
      </c>
      <c r="H101" s="2">
        <v>11</v>
      </c>
      <c r="I101" s="2">
        <v>91</v>
      </c>
      <c r="J101" s="2">
        <v>2.7</v>
      </c>
      <c r="K101" s="2">
        <v>0</v>
      </c>
      <c r="L101" s="2">
        <v>4.4000000000000004</v>
      </c>
      <c r="M101" s="5">
        <f t="shared" si="0"/>
        <v>0</v>
      </c>
      <c r="N101" s="5">
        <f t="shared" si="1"/>
        <v>0</v>
      </c>
      <c r="O101" s="5">
        <f t="shared" si="2"/>
        <v>0</v>
      </c>
      <c r="P101" s="5">
        <f t="shared" si="3"/>
        <v>1</v>
      </c>
      <c r="Q101" s="5">
        <f t="shared" si="4"/>
        <v>0</v>
      </c>
      <c r="R101" s="5">
        <f t="shared" si="5"/>
        <v>0</v>
      </c>
      <c r="S101" s="2">
        <v>105628.68</v>
      </c>
      <c r="T101" s="2">
        <v>675177.68</v>
      </c>
      <c r="U101" s="12">
        <f t="shared" si="8"/>
        <v>665996.46820209129</v>
      </c>
      <c r="V101">
        <f t="shared" si="9"/>
        <v>9181.2117979087634</v>
      </c>
    </row>
    <row r="102" spans="1:22" ht="14.25">
      <c r="A102" s="2" t="s">
        <v>47</v>
      </c>
      <c r="B102" s="3">
        <v>45658</v>
      </c>
      <c r="C102" s="2" t="s">
        <v>15</v>
      </c>
      <c r="D102" s="2" t="s">
        <v>28</v>
      </c>
      <c r="E102" s="2">
        <v>53084.76</v>
      </c>
      <c r="F102" s="2">
        <v>3642</v>
      </c>
      <c r="G102" s="2">
        <v>0.15</v>
      </c>
      <c r="H102" s="2">
        <v>12</v>
      </c>
      <c r="I102" s="2">
        <v>91.4</v>
      </c>
      <c r="J102" s="2">
        <v>0.2</v>
      </c>
      <c r="K102" s="2">
        <v>0</v>
      </c>
      <c r="L102" s="2">
        <v>4.4000000000000004</v>
      </c>
      <c r="M102" s="5">
        <f t="shared" si="0"/>
        <v>0</v>
      </c>
      <c r="N102" s="5">
        <f t="shared" si="1"/>
        <v>0</v>
      </c>
      <c r="O102" s="5">
        <f t="shared" si="2"/>
        <v>1</v>
      </c>
      <c r="P102" s="5">
        <f t="shared" si="3"/>
        <v>1</v>
      </c>
      <c r="Q102" s="5">
        <f t="shared" si="4"/>
        <v>0</v>
      </c>
      <c r="R102" s="5">
        <f t="shared" si="5"/>
        <v>0</v>
      </c>
      <c r="S102" s="2">
        <v>83341.25</v>
      </c>
      <c r="T102" s="2">
        <v>635181.35</v>
      </c>
      <c r="U102" s="12">
        <f t="shared" si="8"/>
        <v>608398.43462332198</v>
      </c>
      <c r="V102">
        <f t="shared" si="9"/>
        <v>26782.915376677993</v>
      </c>
    </row>
    <row r="103" spans="1:22" ht="14.25">
      <c r="A103" s="2" t="s">
        <v>47</v>
      </c>
      <c r="B103" s="3">
        <v>45689</v>
      </c>
      <c r="C103" s="2" t="s">
        <v>15</v>
      </c>
      <c r="D103" s="2" t="s">
        <v>28</v>
      </c>
      <c r="E103" s="2">
        <v>63101.59</v>
      </c>
      <c r="F103" s="2">
        <v>4373</v>
      </c>
      <c r="G103" s="2">
        <v>0.17299999999999999</v>
      </c>
      <c r="H103" s="2">
        <v>14</v>
      </c>
      <c r="I103" s="2">
        <v>90.4</v>
      </c>
      <c r="J103" s="2">
        <v>7.87</v>
      </c>
      <c r="K103" s="2">
        <v>0</v>
      </c>
      <c r="L103" s="2">
        <v>4.7</v>
      </c>
      <c r="M103" s="5">
        <f t="shared" si="0"/>
        <v>0</v>
      </c>
      <c r="N103" s="5">
        <f t="shared" si="1"/>
        <v>0</v>
      </c>
      <c r="O103" s="5">
        <f t="shared" si="2"/>
        <v>1</v>
      </c>
      <c r="P103" s="5">
        <f t="shared" si="3"/>
        <v>1</v>
      </c>
      <c r="Q103" s="5">
        <f t="shared" si="4"/>
        <v>0</v>
      </c>
      <c r="R103" s="5">
        <f t="shared" si="5"/>
        <v>0</v>
      </c>
      <c r="S103" s="2">
        <v>86498.55</v>
      </c>
      <c r="T103" s="2">
        <v>586626.93999999994</v>
      </c>
      <c r="U103" s="12">
        <f t="shared" si="8"/>
        <v>620889.38739347225</v>
      </c>
      <c r="V103">
        <f t="shared" si="9"/>
        <v>-34262.447393472306</v>
      </c>
    </row>
    <row r="104" spans="1:22" ht="14.25">
      <c r="A104" s="2" t="s">
        <v>47</v>
      </c>
      <c r="B104" s="3">
        <v>45717</v>
      </c>
      <c r="C104" s="2" t="s">
        <v>15</v>
      </c>
      <c r="D104" s="2" t="s">
        <v>28</v>
      </c>
      <c r="E104" s="2">
        <v>90084.4</v>
      </c>
      <c r="F104" s="2">
        <v>6832</v>
      </c>
      <c r="G104" s="2">
        <v>0.185</v>
      </c>
      <c r="H104" s="2">
        <v>14</v>
      </c>
      <c r="I104" s="2">
        <v>80.5</v>
      </c>
      <c r="J104" s="2">
        <v>0.77</v>
      </c>
      <c r="K104" s="2">
        <v>1</v>
      </c>
      <c r="L104" s="2">
        <v>4.4000000000000004</v>
      </c>
      <c r="M104" s="5">
        <f t="shared" si="0"/>
        <v>0</v>
      </c>
      <c r="N104" s="5">
        <f t="shared" si="1"/>
        <v>0</v>
      </c>
      <c r="O104" s="5">
        <f t="shared" si="2"/>
        <v>1</v>
      </c>
      <c r="P104" s="5">
        <f t="shared" si="3"/>
        <v>1</v>
      </c>
      <c r="Q104" s="5">
        <f t="shared" si="4"/>
        <v>0</v>
      </c>
      <c r="R104" s="5">
        <f t="shared" si="5"/>
        <v>0</v>
      </c>
      <c r="S104" s="2">
        <v>114299.07</v>
      </c>
      <c r="T104" s="2">
        <v>740102.64</v>
      </c>
      <c r="U104" s="12">
        <f t="shared" si="8"/>
        <v>725760.57649971475</v>
      </c>
      <c r="V104">
        <f t="shared" si="9"/>
        <v>14342.063500285265</v>
      </c>
    </row>
    <row r="105" spans="1:22" ht="14.25">
      <c r="A105" s="2" t="s">
        <v>47</v>
      </c>
      <c r="B105" s="3">
        <v>45748</v>
      </c>
      <c r="C105" s="2" t="s">
        <v>15</v>
      </c>
      <c r="D105" s="2" t="s">
        <v>28</v>
      </c>
      <c r="E105" s="2">
        <v>32266.639999999999</v>
      </c>
      <c r="F105" s="2">
        <v>2414</v>
      </c>
      <c r="G105" s="2">
        <v>0.08</v>
      </c>
      <c r="H105" s="2">
        <v>7</v>
      </c>
      <c r="I105" s="2">
        <v>92.1</v>
      </c>
      <c r="J105" s="2">
        <v>1.48</v>
      </c>
      <c r="K105" s="2">
        <v>0</v>
      </c>
      <c r="L105" s="2">
        <v>5</v>
      </c>
      <c r="M105" s="5">
        <f t="shared" si="0"/>
        <v>0</v>
      </c>
      <c r="N105" s="5">
        <f t="shared" si="1"/>
        <v>0</v>
      </c>
      <c r="O105" s="5">
        <f t="shared" si="2"/>
        <v>1</v>
      </c>
      <c r="P105" s="5">
        <f t="shared" si="3"/>
        <v>1</v>
      </c>
      <c r="Q105" s="5">
        <f t="shared" si="4"/>
        <v>0</v>
      </c>
      <c r="R105" s="5">
        <f t="shared" si="5"/>
        <v>0</v>
      </c>
      <c r="S105" s="2">
        <v>120685.08</v>
      </c>
      <c r="T105" s="2">
        <v>625514.04</v>
      </c>
      <c r="U105" s="12">
        <f t="shared" si="8"/>
        <v>540234.62131098681</v>
      </c>
      <c r="V105">
        <f t="shared" si="9"/>
        <v>85279.418689013226</v>
      </c>
    </row>
    <row r="106" spans="1:22" ht="14.25">
      <c r="A106" s="2" t="s">
        <v>48</v>
      </c>
      <c r="B106" s="3">
        <v>45658</v>
      </c>
      <c r="C106" s="2" t="s">
        <v>27</v>
      </c>
      <c r="D106" s="2" t="s">
        <v>18</v>
      </c>
      <c r="E106" s="2">
        <v>57919.07</v>
      </c>
      <c r="F106" s="2">
        <v>7374</v>
      </c>
      <c r="G106" s="2">
        <v>0.10299999999999999</v>
      </c>
      <c r="H106" s="2">
        <v>21</v>
      </c>
      <c r="I106" s="2">
        <v>82.3</v>
      </c>
      <c r="J106" s="2">
        <v>2.87</v>
      </c>
      <c r="K106" s="2">
        <v>0</v>
      </c>
      <c r="L106" s="2">
        <v>2.9</v>
      </c>
      <c r="M106" s="5">
        <f t="shared" si="0"/>
        <v>0</v>
      </c>
      <c r="N106" s="5">
        <f t="shared" si="1"/>
        <v>0</v>
      </c>
      <c r="O106" s="5">
        <f t="shared" si="2"/>
        <v>0</v>
      </c>
      <c r="P106" s="5">
        <f t="shared" si="3"/>
        <v>0</v>
      </c>
      <c r="Q106" s="5">
        <f t="shared" si="4"/>
        <v>1</v>
      </c>
      <c r="R106" s="5">
        <f t="shared" si="5"/>
        <v>0</v>
      </c>
      <c r="S106" s="2">
        <v>121292.01</v>
      </c>
      <c r="T106" s="2">
        <v>727227.2</v>
      </c>
      <c r="U106" s="12">
        <f t="shared" si="8"/>
        <v>706648.07434443233</v>
      </c>
      <c r="V106">
        <f t="shared" si="9"/>
        <v>20579.125655567623</v>
      </c>
    </row>
    <row r="107" spans="1:22" ht="14.25">
      <c r="A107" s="2" t="s">
        <v>48</v>
      </c>
      <c r="B107" s="3">
        <v>45689</v>
      </c>
      <c r="C107" s="2" t="s">
        <v>27</v>
      </c>
      <c r="D107" s="2" t="s">
        <v>18</v>
      </c>
      <c r="E107" s="2">
        <v>74679.350000000006</v>
      </c>
      <c r="F107" s="2">
        <v>8739</v>
      </c>
      <c r="G107" s="2">
        <v>5.6000000000000001E-2</v>
      </c>
      <c r="H107" s="2">
        <v>21</v>
      </c>
      <c r="I107" s="2">
        <v>91.8</v>
      </c>
      <c r="J107" s="2">
        <v>2.83</v>
      </c>
      <c r="K107" s="2">
        <v>0</v>
      </c>
      <c r="L107" s="2">
        <v>3</v>
      </c>
      <c r="M107" s="5">
        <f t="shared" si="0"/>
        <v>0</v>
      </c>
      <c r="N107" s="5">
        <f t="shared" si="1"/>
        <v>0</v>
      </c>
      <c r="O107" s="5">
        <f t="shared" si="2"/>
        <v>0</v>
      </c>
      <c r="P107" s="5">
        <f t="shared" si="3"/>
        <v>0</v>
      </c>
      <c r="Q107" s="5">
        <f t="shared" si="4"/>
        <v>1</v>
      </c>
      <c r="R107" s="5">
        <f t="shared" si="5"/>
        <v>0</v>
      </c>
      <c r="S107" s="2">
        <v>157620.70000000001</v>
      </c>
      <c r="T107" s="2">
        <v>783797.89</v>
      </c>
      <c r="U107" s="12">
        <f t="shared" si="8"/>
        <v>796658.61673904024</v>
      </c>
      <c r="V107">
        <f t="shared" si="9"/>
        <v>-12860.726739040227</v>
      </c>
    </row>
    <row r="108" spans="1:22" ht="14.25">
      <c r="A108" s="2" t="s">
        <v>48</v>
      </c>
      <c r="B108" s="3">
        <v>45717</v>
      </c>
      <c r="C108" s="2" t="s">
        <v>27</v>
      </c>
      <c r="D108" s="2" t="s">
        <v>18</v>
      </c>
      <c r="E108" s="2">
        <v>64294.23</v>
      </c>
      <c r="F108" s="2">
        <v>6992</v>
      </c>
      <c r="G108" s="2">
        <v>0.13300000000000001</v>
      </c>
      <c r="H108" s="2">
        <v>14</v>
      </c>
      <c r="I108" s="2">
        <v>94.1</v>
      </c>
      <c r="J108" s="2">
        <v>0.25</v>
      </c>
      <c r="K108" s="2">
        <v>0</v>
      </c>
      <c r="L108" s="2">
        <v>3</v>
      </c>
      <c r="M108" s="5">
        <f t="shared" si="0"/>
        <v>0</v>
      </c>
      <c r="N108" s="5">
        <f t="shared" si="1"/>
        <v>0</v>
      </c>
      <c r="O108" s="5">
        <f t="shared" si="2"/>
        <v>0</v>
      </c>
      <c r="P108" s="5">
        <f t="shared" si="3"/>
        <v>0</v>
      </c>
      <c r="Q108" s="5">
        <f t="shared" si="4"/>
        <v>1</v>
      </c>
      <c r="R108" s="5">
        <f t="shared" si="5"/>
        <v>0</v>
      </c>
      <c r="S108" s="2">
        <v>143194.21</v>
      </c>
      <c r="T108" s="2">
        <v>795153.84</v>
      </c>
      <c r="U108" s="12">
        <f t="shared" si="8"/>
        <v>724515.91727235122</v>
      </c>
      <c r="V108">
        <f t="shared" si="9"/>
        <v>70637.922727648751</v>
      </c>
    </row>
    <row r="109" spans="1:22" ht="14.25">
      <c r="A109" s="2" t="s">
        <v>48</v>
      </c>
      <c r="B109" s="3">
        <v>45748</v>
      </c>
      <c r="C109" s="2" t="s">
        <v>27</v>
      </c>
      <c r="D109" s="2" t="s">
        <v>18</v>
      </c>
      <c r="E109" s="2">
        <v>31042.03</v>
      </c>
      <c r="F109" s="2">
        <v>7107</v>
      </c>
      <c r="G109" s="2">
        <v>5.0999999999999997E-2</v>
      </c>
      <c r="H109" s="2">
        <v>15</v>
      </c>
      <c r="I109" s="2">
        <v>87</v>
      </c>
      <c r="J109" s="2">
        <v>13.33</v>
      </c>
      <c r="K109" s="2">
        <v>0</v>
      </c>
      <c r="L109" s="2">
        <v>3.2</v>
      </c>
      <c r="M109" s="5">
        <f t="shared" si="0"/>
        <v>0</v>
      </c>
      <c r="N109" s="5">
        <f t="shared" si="1"/>
        <v>0</v>
      </c>
      <c r="O109" s="5">
        <f t="shared" si="2"/>
        <v>0</v>
      </c>
      <c r="P109" s="5">
        <f t="shared" si="3"/>
        <v>0</v>
      </c>
      <c r="Q109" s="5">
        <f t="shared" si="4"/>
        <v>1</v>
      </c>
      <c r="R109" s="5">
        <f t="shared" si="5"/>
        <v>0</v>
      </c>
      <c r="S109" s="2">
        <v>127597.34</v>
      </c>
      <c r="T109" s="2">
        <v>665594.93999999994</v>
      </c>
      <c r="U109" s="12">
        <f t="shared" si="8"/>
        <v>630106.88061062887</v>
      </c>
      <c r="V109">
        <f t="shared" si="9"/>
        <v>35488.059389371076</v>
      </c>
    </row>
    <row r="110" spans="1:22" ht="14.25">
      <c r="A110" s="2" t="s">
        <v>49</v>
      </c>
      <c r="B110" s="3">
        <v>45658</v>
      </c>
      <c r="C110" s="2" t="s">
        <v>15</v>
      </c>
      <c r="D110" s="2" t="s">
        <v>28</v>
      </c>
      <c r="E110" s="2">
        <v>75265.02</v>
      </c>
      <c r="F110" s="2">
        <v>6975</v>
      </c>
      <c r="G110" s="2">
        <v>0.157</v>
      </c>
      <c r="H110" s="2">
        <v>20</v>
      </c>
      <c r="I110" s="2">
        <v>73.8</v>
      </c>
      <c r="J110" s="2">
        <v>6.35</v>
      </c>
      <c r="K110" s="2">
        <v>1</v>
      </c>
      <c r="L110" s="2">
        <v>3.8</v>
      </c>
      <c r="M110" s="5">
        <f t="shared" si="0"/>
        <v>0</v>
      </c>
      <c r="N110" s="5">
        <f t="shared" si="1"/>
        <v>0</v>
      </c>
      <c r="O110" s="5">
        <f t="shared" si="2"/>
        <v>1</v>
      </c>
      <c r="P110" s="5">
        <f t="shared" si="3"/>
        <v>1</v>
      </c>
      <c r="Q110" s="5">
        <f t="shared" si="4"/>
        <v>0</v>
      </c>
      <c r="R110" s="5">
        <f t="shared" si="5"/>
        <v>0</v>
      </c>
      <c r="S110" s="2">
        <v>71294.27</v>
      </c>
      <c r="T110" s="2">
        <v>709478.39</v>
      </c>
      <c r="U110" s="12">
        <f t="shared" si="8"/>
        <v>686737.33756843989</v>
      </c>
      <c r="V110">
        <f t="shared" si="9"/>
        <v>22741.052431560121</v>
      </c>
    </row>
    <row r="111" spans="1:22" ht="14.25">
      <c r="A111" s="2" t="s">
        <v>49</v>
      </c>
      <c r="B111" s="3">
        <v>45689</v>
      </c>
      <c r="C111" s="2" t="s">
        <v>15</v>
      </c>
      <c r="D111" s="2" t="s">
        <v>28</v>
      </c>
      <c r="E111" s="2">
        <v>69411.7</v>
      </c>
      <c r="F111" s="2">
        <v>5493</v>
      </c>
      <c r="G111" s="2">
        <v>0.29199999999999998</v>
      </c>
      <c r="H111" s="2">
        <v>13</v>
      </c>
      <c r="I111" s="2">
        <v>86.5</v>
      </c>
      <c r="J111" s="2">
        <v>6.69</v>
      </c>
      <c r="K111" s="2">
        <v>0</v>
      </c>
      <c r="L111" s="2">
        <v>3.8</v>
      </c>
      <c r="M111" s="5">
        <f t="shared" si="0"/>
        <v>0</v>
      </c>
      <c r="N111" s="5">
        <f t="shared" si="1"/>
        <v>0</v>
      </c>
      <c r="O111" s="5">
        <f t="shared" si="2"/>
        <v>1</v>
      </c>
      <c r="P111" s="5">
        <f t="shared" si="3"/>
        <v>1</v>
      </c>
      <c r="Q111" s="5">
        <f t="shared" si="4"/>
        <v>0</v>
      </c>
      <c r="R111" s="5">
        <f t="shared" si="5"/>
        <v>0</v>
      </c>
      <c r="S111" s="2">
        <v>98291.06</v>
      </c>
      <c r="T111" s="2">
        <v>664162.49</v>
      </c>
      <c r="U111" s="12">
        <f t="shared" si="8"/>
        <v>631580.20563415647</v>
      </c>
      <c r="V111">
        <f t="shared" si="9"/>
        <v>32582.284365843516</v>
      </c>
    </row>
    <row r="112" spans="1:22" ht="14.25">
      <c r="A112" s="2" t="s">
        <v>49</v>
      </c>
      <c r="B112" s="3">
        <v>45717</v>
      </c>
      <c r="C112" s="2" t="s">
        <v>15</v>
      </c>
      <c r="D112" s="2" t="s">
        <v>28</v>
      </c>
      <c r="E112" s="2">
        <v>51056.15</v>
      </c>
      <c r="F112" s="2">
        <v>5686</v>
      </c>
      <c r="G112" s="2">
        <v>8.8999999999999996E-2</v>
      </c>
      <c r="H112" s="2">
        <v>13</v>
      </c>
      <c r="I112" s="2">
        <v>89.9</v>
      </c>
      <c r="J112" s="2">
        <v>1.28</v>
      </c>
      <c r="K112" s="2">
        <v>0</v>
      </c>
      <c r="L112" s="2">
        <v>4.2</v>
      </c>
      <c r="M112" s="5">
        <f t="shared" si="0"/>
        <v>0</v>
      </c>
      <c r="N112" s="5">
        <f t="shared" si="1"/>
        <v>0</v>
      </c>
      <c r="O112" s="5">
        <f t="shared" si="2"/>
        <v>1</v>
      </c>
      <c r="P112" s="5">
        <f t="shared" si="3"/>
        <v>1</v>
      </c>
      <c r="Q112" s="5">
        <f t="shared" si="4"/>
        <v>0</v>
      </c>
      <c r="R112" s="5">
        <f t="shared" si="5"/>
        <v>0</v>
      </c>
      <c r="S112" s="2">
        <v>105739.47</v>
      </c>
      <c r="T112" s="2">
        <v>633494.21</v>
      </c>
      <c r="U112" s="12">
        <f t="shared" si="8"/>
        <v>657035.01080507599</v>
      </c>
      <c r="V112">
        <f t="shared" si="9"/>
        <v>-23540.800805076025</v>
      </c>
    </row>
    <row r="113" spans="1:22" ht="14.25">
      <c r="A113" s="2" t="s">
        <v>49</v>
      </c>
      <c r="B113" s="3">
        <v>45748</v>
      </c>
      <c r="C113" s="2" t="s">
        <v>15</v>
      </c>
      <c r="D113" s="2" t="s">
        <v>28</v>
      </c>
      <c r="E113" s="2">
        <v>52758.01</v>
      </c>
      <c r="F113" s="2">
        <v>4063</v>
      </c>
      <c r="G113" s="2">
        <v>5.7000000000000002E-2</v>
      </c>
      <c r="H113" s="2">
        <v>12</v>
      </c>
      <c r="I113" s="2">
        <v>91.7</v>
      </c>
      <c r="J113" s="2">
        <v>0.92</v>
      </c>
      <c r="K113" s="2">
        <v>0</v>
      </c>
      <c r="L113" s="2">
        <v>3.5</v>
      </c>
      <c r="M113" s="5">
        <f t="shared" si="0"/>
        <v>0</v>
      </c>
      <c r="N113" s="5">
        <f t="shared" si="1"/>
        <v>0</v>
      </c>
      <c r="O113" s="5">
        <f t="shared" si="2"/>
        <v>1</v>
      </c>
      <c r="P113" s="5">
        <f t="shared" si="3"/>
        <v>1</v>
      </c>
      <c r="Q113" s="5">
        <f t="shared" si="4"/>
        <v>0</v>
      </c>
      <c r="R113" s="5">
        <f t="shared" si="5"/>
        <v>0</v>
      </c>
      <c r="S113" s="2">
        <v>129717.18</v>
      </c>
      <c r="T113" s="2">
        <v>713611.16</v>
      </c>
      <c r="U113" s="12">
        <f t="shared" si="8"/>
        <v>610531.95156057086</v>
      </c>
      <c r="V113">
        <f t="shared" si="9"/>
        <v>103079.20843942917</v>
      </c>
    </row>
    <row r="114" spans="1:22" ht="14.25">
      <c r="A114" s="2" t="s">
        <v>50</v>
      </c>
      <c r="B114" s="3">
        <v>45658</v>
      </c>
      <c r="C114" s="2" t="s">
        <v>27</v>
      </c>
      <c r="D114" s="2" t="s">
        <v>28</v>
      </c>
      <c r="E114" s="2">
        <v>61426.04</v>
      </c>
      <c r="F114" s="2">
        <v>8966</v>
      </c>
      <c r="G114" s="2">
        <v>0.17299999999999999</v>
      </c>
      <c r="H114" s="2">
        <v>22</v>
      </c>
      <c r="I114" s="2">
        <v>76.400000000000006</v>
      </c>
      <c r="J114" s="2">
        <v>1.05</v>
      </c>
      <c r="K114" s="2">
        <v>0</v>
      </c>
      <c r="L114" s="2">
        <v>3.1</v>
      </c>
      <c r="M114" s="5">
        <f t="shared" si="0"/>
        <v>0</v>
      </c>
      <c r="N114" s="5">
        <f t="shared" si="1"/>
        <v>0</v>
      </c>
      <c r="O114" s="5">
        <f t="shared" si="2"/>
        <v>0</v>
      </c>
      <c r="P114" s="5">
        <f t="shared" si="3"/>
        <v>1</v>
      </c>
      <c r="Q114" s="5">
        <f t="shared" si="4"/>
        <v>0</v>
      </c>
      <c r="R114" s="5">
        <f t="shared" si="5"/>
        <v>0</v>
      </c>
      <c r="S114" s="2">
        <v>120044.41</v>
      </c>
      <c r="T114" s="2">
        <v>778397.97</v>
      </c>
      <c r="U114" s="12">
        <f t="shared" si="8"/>
        <v>758337.6605771617</v>
      </c>
      <c r="V114">
        <f t="shared" si="9"/>
        <v>20060.309422838269</v>
      </c>
    </row>
    <row r="115" spans="1:22" ht="14.25">
      <c r="A115" s="2" t="s">
        <v>50</v>
      </c>
      <c r="B115" s="3">
        <v>45689</v>
      </c>
      <c r="C115" s="2" t="s">
        <v>27</v>
      </c>
      <c r="D115" s="2" t="s">
        <v>28</v>
      </c>
      <c r="E115" s="2">
        <v>80176.34</v>
      </c>
      <c r="F115" s="2">
        <v>9489</v>
      </c>
      <c r="G115" s="2">
        <v>0.14199999999999999</v>
      </c>
      <c r="H115" s="2">
        <v>22</v>
      </c>
      <c r="I115" s="2">
        <v>94.3</v>
      </c>
      <c r="J115" s="2">
        <v>2.67</v>
      </c>
      <c r="K115" s="2">
        <v>0</v>
      </c>
      <c r="L115" s="2">
        <v>3.5</v>
      </c>
      <c r="M115" s="5">
        <f t="shared" si="0"/>
        <v>0</v>
      </c>
      <c r="N115" s="5">
        <f t="shared" si="1"/>
        <v>0</v>
      </c>
      <c r="O115" s="5">
        <f t="shared" si="2"/>
        <v>0</v>
      </c>
      <c r="P115" s="5">
        <f t="shared" si="3"/>
        <v>1</v>
      </c>
      <c r="Q115" s="5">
        <f t="shared" si="4"/>
        <v>0</v>
      </c>
      <c r="R115" s="5">
        <f t="shared" si="5"/>
        <v>0</v>
      </c>
      <c r="S115" s="2">
        <v>149734.76</v>
      </c>
      <c r="T115" s="2">
        <v>873380.02</v>
      </c>
      <c r="U115" s="12">
        <f t="shared" si="8"/>
        <v>850847.16411449935</v>
      </c>
      <c r="V115">
        <f t="shared" si="9"/>
        <v>22532.85588550067</v>
      </c>
    </row>
    <row r="116" spans="1:22" ht="14.25">
      <c r="A116" s="2" t="s">
        <v>50</v>
      </c>
      <c r="B116" s="3">
        <v>45717</v>
      </c>
      <c r="C116" s="2" t="s">
        <v>27</v>
      </c>
      <c r="D116" s="2" t="s">
        <v>28</v>
      </c>
      <c r="E116" s="2">
        <v>33605.18</v>
      </c>
      <c r="F116" s="2">
        <v>9225</v>
      </c>
      <c r="G116" s="2">
        <v>0.159</v>
      </c>
      <c r="H116" s="2">
        <v>23</v>
      </c>
      <c r="I116" s="2">
        <v>88.4</v>
      </c>
      <c r="J116" s="2">
        <v>5.91</v>
      </c>
      <c r="K116" s="2">
        <v>0</v>
      </c>
      <c r="L116" s="2">
        <v>2.8</v>
      </c>
      <c r="M116" s="5">
        <f t="shared" si="0"/>
        <v>0</v>
      </c>
      <c r="N116" s="5">
        <f t="shared" si="1"/>
        <v>0</v>
      </c>
      <c r="O116" s="5">
        <f t="shared" si="2"/>
        <v>0</v>
      </c>
      <c r="P116" s="5">
        <f t="shared" si="3"/>
        <v>1</v>
      </c>
      <c r="Q116" s="5">
        <f t="shared" si="4"/>
        <v>0</v>
      </c>
      <c r="R116" s="5">
        <f t="shared" si="5"/>
        <v>0</v>
      </c>
      <c r="S116" s="2">
        <v>128208.33</v>
      </c>
      <c r="T116" s="2">
        <v>697287.9</v>
      </c>
      <c r="U116" s="12">
        <f t="shared" si="8"/>
        <v>752126.76769261854</v>
      </c>
      <c r="V116">
        <f t="shared" si="9"/>
        <v>-54838.867692618514</v>
      </c>
    </row>
    <row r="117" spans="1:22" ht="14.25">
      <c r="A117" s="2" t="s">
        <v>50</v>
      </c>
      <c r="B117" s="3">
        <v>45748</v>
      </c>
      <c r="C117" s="2" t="s">
        <v>27</v>
      </c>
      <c r="D117" s="2" t="s">
        <v>28</v>
      </c>
      <c r="E117" s="2">
        <v>25990.54</v>
      </c>
      <c r="F117" s="2">
        <v>9249</v>
      </c>
      <c r="G117" s="2">
        <v>0.13900000000000001</v>
      </c>
      <c r="H117" s="2">
        <v>23</v>
      </c>
      <c r="I117" s="2">
        <v>92.5</v>
      </c>
      <c r="J117" s="2">
        <v>6.37</v>
      </c>
      <c r="K117" s="2">
        <v>0</v>
      </c>
      <c r="L117" s="2">
        <v>3.3</v>
      </c>
      <c r="M117" s="5">
        <f t="shared" si="0"/>
        <v>0</v>
      </c>
      <c r="N117" s="5">
        <f t="shared" si="1"/>
        <v>0</v>
      </c>
      <c r="O117" s="5">
        <f t="shared" si="2"/>
        <v>0</v>
      </c>
      <c r="P117" s="5">
        <f t="shared" si="3"/>
        <v>1</v>
      </c>
      <c r="Q117" s="5">
        <f t="shared" si="4"/>
        <v>0</v>
      </c>
      <c r="R117" s="5">
        <f t="shared" si="5"/>
        <v>0</v>
      </c>
      <c r="S117" s="2">
        <v>115819.87</v>
      </c>
      <c r="T117" s="2">
        <v>718074.79</v>
      </c>
      <c r="U117" s="12">
        <f t="shared" si="8"/>
        <v>761622.79264157568</v>
      </c>
      <c r="V117">
        <f t="shared" si="9"/>
        <v>-43548.002641575644</v>
      </c>
    </row>
    <row r="118" spans="1:22" ht="14.25">
      <c r="A118" s="2" t="s">
        <v>51</v>
      </c>
      <c r="B118" s="3">
        <v>45658</v>
      </c>
      <c r="C118" s="2" t="s">
        <v>27</v>
      </c>
      <c r="D118" s="2" t="s">
        <v>16</v>
      </c>
      <c r="E118" s="2">
        <v>43685.14</v>
      </c>
      <c r="F118" s="2">
        <v>7821</v>
      </c>
      <c r="G118" s="2">
        <v>0.19</v>
      </c>
      <c r="H118" s="2">
        <v>17</v>
      </c>
      <c r="I118" s="2">
        <v>91</v>
      </c>
      <c r="J118" s="2">
        <v>2.4900000000000002</v>
      </c>
      <c r="K118" s="2">
        <v>1</v>
      </c>
      <c r="L118" s="2">
        <v>4.7</v>
      </c>
      <c r="M118" s="5">
        <f t="shared" si="0"/>
        <v>0</v>
      </c>
      <c r="N118" s="5">
        <f t="shared" si="1"/>
        <v>0</v>
      </c>
      <c r="O118" s="5">
        <f t="shared" si="2"/>
        <v>0</v>
      </c>
      <c r="P118" s="5">
        <f t="shared" si="3"/>
        <v>0</v>
      </c>
      <c r="Q118" s="5">
        <f t="shared" si="4"/>
        <v>0</v>
      </c>
      <c r="R118" s="5">
        <f t="shared" si="5"/>
        <v>0</v>
      </c>
      <c r="S118" s="2">
        <v>94697.71</v>
      </c>
      <c r="T118" s="2">
        <v>714942.43</v>
      </c>
      <c r="U118" s="12">
        <f t="shared" si="8"/>
        <v>729426.33443062904</v>
      </c>
      <c r="V118">
        <f t="shared" si="9"/>
        <v>-14483.904430628987</v>
      </c>
    </row>
    <row r="119" spans="1:22" ht="14.25">
      <c r="A119" s="2" t="s">
        <v>51</v>
      </c>
      <c r="B119" s="3">
        <v>45689</v>
      </c>
      <c r="C119" s="2" t="s">
        <v>27</v>
      </c>
      <c r="D119" s="2" t="s">
        <v>16</v>
      </c>
      <c r="E119" s="2">
        <v>57360.01</v>
      </c>
      <c r="F119" s="2">
        <v>8434</v>
      </c>
      <c r="G119" s="2">
        <v>0.151</v>
      </c>
      <c r="H119" s="2">
        <v>19</v>
      </c>
      <c r="I119" s="2">
        <v>84.1</v>
      </c>
      <c r="J119" s="2">
        <v>1.56</v>
      </c>
      <c r="K119" s="2">
        <v>0</v>
      </c>
      <c r="L119" s="2">
        <v>4.7</v>
      </c>
      <c r="M119" s="5">
        <f t="shared" si="0"/>
        <v>0</v>
      </c>
      <c r="N119" s="5">
        <f t="shared" si="1"/>
        <v>0</v>
      </c>
      <c r="O119" s="5">
        <f t="shared" si="2"/>
        <v>0</v>
      </c>
      <c r="P119" s="5">
        <f t="shared" si="3"/>
        <v>0</v>
      </c>
      <c r="Q119" s="5">
        <f t="shared" si="4"/>
        <v>0</v>
      </c>
      <c r="R119" s="5">
        <f t="shared" si="5"/>
        <v>0</v>
      </c>
      <c r="S119" s="2">
        <v>99035.88</v>
      </c>
      <c r="T119" s="2">
        <v>820519.04</v>
      </c>
      <c r="U119" s="12">
        <f t="shared" si="8"/>
        <v>738265.21992595494</v>
      </c>
      <c r="V119">
        <f t="shared" si="9"/>
        <v>82253.820074045099</v>
      </c>
    </row>
    <row r="120" spans="1:22" ht="14.25">
      <c r="A120" s="2" t="s">
        <v>51</v>
      </c>
      <c r="B120" s="3">
        <v>45717</v>
      </c>
      <c r="C120" s="2" t="s">
        <v>27</v>
      </c>
      <c r="D120" s="2" t="s">
        <v>16</v>
      </c>
      <c r="E120" s="2">
        <v>42415.47</v>
      </c>
      <c r="F120" s="2">
        <v>8512</v>
      </c>
      <c r="G120" s="2">
        <v>0.13300000000000001</v>
      </c>
      <c r="H120" s="2">
        <v>18</v>
      </c>
      <c r="I120" s="2">
        <v>96.8</v>
      </c>
      <c r="J120" s="2">
        <v>14.95</v>
      </c>
      <c r="K120" s="2">
        <v>0</v>
      </c>
      <c r="L120" s="2">
        <v>4.5999999999999996</v>
      </c>
      <c r="M120" s="5">
        <f t="shared" si="0"/>
        <v>0</v>
      </c>
      <c r="N120" s="5">
        <f t="shared" si="1"/>
        <v>0</v>
      </c>
      <c r="O120" s="5">
        <f t="shared" si="2"/>
        <v>0</v>
      </c>
      <c r="P120" s="5">
        <f t="shared" si="3"/>
        <v>0</v>
      </c>
      <c r="Q120" s="5">
        <f t="shared" si="4"/>
        <v>0</v>
      </c>
      <c r="R120" s="5">
        <f t="shared" si="5"/>
        <v>0</v>
      </c>
      <c r="S120" s="2">
        <v>136217.19</v>
      </c>
      <c r="T120" s="2">
        <v>684217.32</v>
      </c>
      <c r="U120" s="12">
        <f t="shared" si="8"/>
        <v>711152.4554783213</v>
      </c>
      <c r="V120">
        <f t="shared" si="9"/>
        <v>-26935.135478321346</v>
      </c>
    </row>
    <row r="121" spans="1:22" ht="14.25">
      <c r="A121" s="2" t="s">
        <v>51</v>
      </c>
      <c r="B121" s="3">
        <v>45748</v>
      </c>
      <c r="C121" s="2" t="s">
        <v>27</v>
      </c>
      <c r="D121" s="2" t="s">
        <v>16</v>
      </c>
      <c r="E121" s="2">
        <v>54968.98</v>
      </c>
      <c r="F121" s="2">
        <v>7816</v>
      </c>
      <c r="G121" s="2">
        <v>0.23200000000000001</v>
      </c>
      <c r="H121" s="2">
        <v>19</v>
      </c>
      <c r="I121" s="2">
        <v>95.7</v>
      </c>
      <c r="J121" s="2">
        <v>7.85</v>
      </c>
      <c r="K121" s="2">
        <v>0</v>
      </c>
      <c r="L121" s="2">
        <v>4.7</v>
      </c>
      <c r="M121" s="5">
        <f t="shared" si="0"/>
        <v>0</v>
      </c>
      <c r="N121" s="5">
        <f t="shared" si="1"/>
        <v>0</v>
      </c>
      <c r="O121" s="5">
        <f t="shared" si="2"/>
        <v>0</v>
      </c>
      <c r="P121" s="5">
        <f t="shared" si="3"/>
        <v>0</v>
      </c>
      <c r="Q121" s="5">
        <f t="shared" si="4"/>
        <v>0</v>
      </c>
      <c r="R121" s="5">
        <f t="shared" si="5"/>
        <v>0</v>
      </c>
      <c r="S121" s="2">
        <v>88342.11</v>
      </c>
      <c r="T121" s="2">
        <v>735480.19</v>
      </c>
      <c r="U121" s="12">
        <f t="shared" si="8"/>
        <v>729033.72171343816</v>
      </c>
      <c r="V121">
        <f t="shared" si="9"/>
        <v>6446.4682865617797</v>
      </c>
    </row>
    <row r="122" spans="1:22" ht="14.25">
      <c r="A122" s="2" t="s">
        <v>52</v>
      </c>
      <c r="B122" s="3">
        <v>45658</v>
      </c>
      <c r="C122" s="2" t="s">
        <v>20</v>
      </c>
      <c r="D122" s="2" t="s">
        <v>18</v>
      </c>
      <c r="E122" s="2">
        <v>43896.13</v>
      </c>
      <c r="F122" s="2">
        <v>3853</v>
      </c>
      <c r="G122" s="2">
        <v>8.7999999999999995E-2</v>
      </c>
      <c r="H122" s="2">
        <v>13</v>
      </c>
      <c r="I122" s="2">
        <v>83</v>
      </c>
      <c r="J122" s="2">
        <v>6.8</v>
      </c>
      <c r="K122" s="2">
        <v>0</v>
      </c>
      <c r="L122" s="2">
        <v>4.4000000000000004</v>
      </c>
      <c r="M122" s="5">
        <f t="shared" si="0"/>
        <v>1</v>
      </c>
      <c r="N122" s="5">
        <f t="shared" si="1"/>
        <v>0</v>
      </c>
      <c r="O122" s="5">
        <f t="shared" si="2"/>
        <v>0</v>
      </c>
      <c r="P122" s="5">
        <f t="shared" si="3"/>
        <v>0</v>
      </c>
      <c r="Q122" s="5">
        <f t="shared" si="4"/>
        <v>1</v>
      </c>
      <c r="R122" s="5">
        <f t="shared" si="5"/>
        <v>0</v>
      </c>
      <c r="S122" s="2">
        <v>85742.36</v>
      </c>
      <c r="T122" s="2">
        <v>509484.81</v>
      </c>
      <c r="U122" s="12">
        <f t="shared" si="8"/>
        <v>558035.30143295601</v>
      </c>
      <c r="V122">
        <f t="shared" si="9"/>
        <v>-48550.491432956012</v>
      </c>
    </row>
    <row r="123" spans="1:22" ht="14.25">
      <c r="A123" s="2" t="s">
        <v>52</v>
      </c>
      <c r="B123" s="3">
        <v>45689</v>
      </c>
      <c r="C123" s="2" t="s">
        <v>20</v>
      </c>
      <c r="D123" s="2" t="s">
        <v>18</v>
      </c>
      <c r="E123" s="2">
        <v>83044.17</v>
      </c>
      <c r="F123" s="2">
        <v>3694</v>
      </c>
      <c r="G123" s="2">
        <v>0</v>
      </c>
      <c r="H123" s="2">
        <v>14</v>
      </c>
      <c r="I123" s="2">
        <v>89.4</v>
      </c>
      <c r="J123" s="2">
        <v>2.2000000000000002</v>
      </c>
      <c r="K123" s="2">
        <v>0</v>
      </c>
      <c r="L123" s="2">
        <v>3.7</v>
      </c>
      <c r="M123" s="5">
        <f t="shared" si="0"/>
        <v>1</v>
      </c>
      <c r="N123" s="5">
        <f t="shared" si="1"/>
        <v>0</v>
      </c>
      <c r="O123" s="5">
        <f t="shared" si="2"/>
        <v>0</v>
      </c>
      <c r="P123" s="5">
        <f t="shared" si="3"/>
        <v>0</v>
      </c>
      <c r="Q123" s="5">
        <f t="shared" si="4"/>
        <v>1</v>
      </c>
      <c r="R123" s="5">
        <f t="shared" si="5"/>
        <v>0</v>
      </c>
      <c r="S123" s="2">
        <v>121446.89</v>
      </c>
      <c r="T123" s="2">
        <v>654317.09</v>
      </c>
      <c r="U123" s="12">
        <f t="shared" si="8"/>
        <v>634849.7910179717</v>
      </c>
      <c r="V123">
        <f t="shared" si="9"/>
        <v>19467.298982028267</v>
      </c>
    </row>
    <row r="124" spans="1:22" ht="14.25">
      <c r="A124" s="2" t="s">
        <v>52</v>
      </c>
      <c r="B124" s="3">
        <v>45717</v>
      </c>
      <c r="C124" s="2" t="s">
        <v>20</v>
      </c>
      <c r="D124" s="2" t="s">
        <v>18</v>
      </c>
      <c r="E124" s="2">
        <v>48396.13</v>
      </c>
      <c r="F124" s="2">
        <v>4423</v>
      </c>
      <c r="G124" s="2">
        <v>6.9000000000000006E-2</v>
      </c>
      <c r="H124" s="2">
        <v>15</v>
      </c>
      <c r="I124" s="2">
        <v>85.7</v>
      </c>
      <c r="J124" s="2">
        <v>1.88</v>
      </c>
      <c r="K124" s="2">
        <v>0</v>
      </c>
      <c r="L124" s="2">
        <v>3.9</v>
      </c>
      <c r="M124" s="5">
        <f t="shared" si="0"/>
        <v>1</v>
      </c>
      <c r="N124" s="5">
        <f t="shared" si="1"/>
        <v>0</v>
      </c>
      <c r="O124" s="5">
        <f t="shared" si="2"/>
        <v>0</v>
      </c>
      <c r="P124" s="5">
        <f t="shared" si="3"/>
        <v>0</v>
      </c>
      <c r="Q124" s="5">
        <f t="shared" si="4"/>
        <v>1</v>
      </c>
      <c r="R124" s="5">
        <f t="shared" si="5"/>
        <v>0</v>
      </c>
      <c r="S124" s="2">
        <v>76432.19</v>
      </c>
      <c r="T124" s="2">
        <v>557487.26</v>
      </c>
      <c r="U124" s="12">
        <f t="shared" si="8"/>
        <v>605790.75688252598</v>
      </c>
      <c r="V124">
        <f t="shared" si="9"/>
        <v>-48303.496882525971</v>
      </c>
    </row>
    <row r="125" spans="1:22" ht="14.25">
      <c r="A125" s="2" t="s">
        <v>52</v>
      </c>
      <c r="B125" s="3">
        <v>45748</v>
      </c>
      <c r="C125" s="2" t="s">
        <v>20</v>
      </c>
      <c r="D125" s="2" t="s">
        <v>18</v>
      </c>
      <c r="E125" s="2">
        <v>19063.48</v>
      </c>
      <c r="F125" s="2">
        <v>1906</v>
      </c>
      <c r="G125" s="2">
        <v>0.216</v>
      </c>
      <c r="H125" s="2">
        <v>10</v>
      </c>
      <c r="I125" s="2">
        <v>97.8</v>
      </c>
      <c r="J125" s="2">
        <v>15.79</v>
      </c>
      <c r="K125" s="2">
        <v>0</v>
      </c>
      <c r="L125" s="2">
        <v>4.4000000000000004</v>
      </c>
      <c r="M125" s="5">
        <f t="shared" si="0"/>
        <v>1</v>
      </c>
      <c r="N125" s="5">
        <f t="shared" si="1"/>
        <v>0</v>
      </c>
      <c r="O125" s="5">
        <f t="shared" si="2"/>
        <v>0</v>
      </c>
      <c r="P125" s="5">
        <f t="shared" si="3"/>
        <v>0</v>
      </c>
      <c r="Q125" s="5">
        <f t="shared" si="4"/>
        <v>1</v>
      </c>
      <c r="R125" s="5">
        <f t="shared" si="5"/>
        <v>0</v>
      </c>
      <c r="S125" s="2">
        <v>58234.87</v>
      </c>
      <c r="T125" s="2">
        <v>441275.42</v>
      </c>
      <c r="U125" s="12">
        <f t="shared" si="8"/>
        <v>473373.80093421217</v>
      </c>
      <c r="V125">
        <f t="shared" si="9"/>
        <v>-32098.380934212182</v>
      </c>
    </row>
    <row r="126" spans="1:22" ht="14.25">
      <c r="A126" s="2" t="s">
        <v>53</v>
      </c>
      <c r="B126" s="3">
        <v>45658</v>
      </c>
      <c r="C126" s="2" t="s">
        <v>24</v>
      </c>
      <c r="D126" s="2" t="s">
        <v>18</v>
      </c>
      <c r="E126" s="2">
        <v>61541.21</v>
      </c>
      <c r="F126" s="2">
        <v>10396</v>
      </c>
      <c r="G126" s="2">
        <v>0.123</v>
      </c>
      <c r="H126" s="2">
        <v>25</v>
      </c>
      <c r="I126" s="2">
        <v>88.1</v>
      </c>
      <c r="J126" s="2">
        <v>2.34</v>
      </c>
      <c r="K126" s="2">
        <v>1</v>
      </c>
      <c r="L126" s="2">
        <v>4.8</v>
      </c>
      <c r="M126" s="5">
        <f t="shared" si="0"/>
        <v>0</v>
      </c>
      <c r="N126" s="5">
        <f t="shared" si="1"/>
        <v>1</v>
      </c>
      <c r="O126" s="5">
        <f t="shared" si="2"/>
        <v>0</v>
      </c>
      <c r="P126" s="5">
        <f t="shared" si="3"/>
        <v>0</v>
      </c>
      <c r="Q126" s="5">
        <f t="shared" si="4"/>
        <v>1</v>
      </c>
      <c r="R126" s="5">
        <f t="shared" si="5"/>
        <v>0</v>
      </c>
      <c r="S126" s="2">
        <v>79831.73</v>
      </c>
      <c r="T126" s="2">
        <v>914544.17</v>
      </c>
      <c r="U126" s="12">
        <f t="shared" si="8"/>
        <v>861155.74655698531</v>
      </c>
      <c r="V126">
        <f t="shared" si="9"/>
        <v>53388.423443014733</v>
      </c>
    </row>
    <row r="127" spans="1:22" ht="14.25">
      <c r="A127" s="2" t="s">
        <v>53</v>
      </c>
      <c r="B127" s="3">
        <v>45689</v>
      </c>
      <c r="C127" s="2" t="s">
        <v>24</v>
      </c>
      <c r="D127" s="2" t="s">
        <v>18</v>
      </c>
      <c r="E127" s="2">
        <v>44747</v>
      </c>
      <c r="F127" s="2">
        <v>11076</v>
      </c>
      <c r="G127" s="2">
        <v>0.17599999999999999</v>
      </c>
      <c r="H127" s="2">
        <v>27</v>
      </c>
      <c r="I127" s="2">
        <v>98.3</v>
      </c>
      <c r="J127" s="2">
        <v>0.54</v>
      </c>
      <c r="K127" s="2">
        <v>0</v>
      </c>
      <c r="L127" s="2">
        <v>4.4000000000000004</v>
      </c>
      <c r="M127" s="5">
        <f t="shared" si="0"/>
        <v>0</v>
      </c>
      <c r="N127" s="5">
        <f t="shared" si="1"/>
        <v>1</v>
      </c>
      <c r="O127" s="5">
        <f t="shared" si="2"/>
        <v>0</v>
      </c>
      <c r="P127" s="5">
        <f t="shared" si="3"/>
        <v>0</v>
      </c>
      <c r="Q127" s="5">
        <f t="shared" si="4"/>
        <v>1</v>
      </c>
      <c r="R127" s="5">
        <f t="shared" si="5"/>
        <v>0</v>
      </c>
      <c r="S127" s="2">
        <v>169983.63</v>
      </c>
      <c r="T127" s="2">
        <v>842439.67</v>
      </c>
      <c r="U127" s="12">
        <f t="shared" si="8"/>
        <v>881517.54464416404</v>
      </c>
      <c r="V127">
        <f t="shared" si="9"/>
        <v>-39077.874644163996</v>
      </c>
    </row>
    <row r="128" spans="1:22" ht="14.25">
      <c r="A128" s="2" t="s">
        <v>53</v>
      </c>
      <c r="B128" s="3">
        <v>45717</v>
      </c>
      <c r="C128" s="2" t="s">
        <v>24</v>
      </c>
      <c r="D128" s="2" t="s">
        <v>18</v>
      </c>
      <c r="E128" s="2">
        <v>56517.9</v>
      </c>
      <c r="F128" s="2">
        <v>9574</v>
      </c>
      <c r="G128" s="2">
        <v>0.20399999999999999</v>
      </c>
      <c r="H128" s="2">
        <v>20</v>
      </c>
      <c r="I128" s="2">
        <v>88.2</v>
      </c>
      <c r="J128" s="2">
        <v>5.37</v>
      </c>
      <c r="K128" s="2">
        <v>1</v>
      </c>
      <c r="L128" s="2">
        <v>4.9000000000000004</v>
      </c>
      <c r="M128" s="5">
        <f t="shared" si="0"/>
        <v>0</v>
      </c>
      <c r="N128" s="5">
        <f t="shared" si="1"/>
        <v>1</v>
      </c>
      <c r="O128" s="5">
        <f t="shared" si="2"/>
        <v>0</v>
      </c>
      <c r="P128" s="5">
        <f t="shared" si="3"/>
        <v>0</v>
      </c>
      <c r="Q128" s="5">
        <f t="shared" si="4"/>
        <v>1</v>
      </c>
      <c r="R128" s="5">
        <f t="shared" si="5"/>
        <v>0</v>
      </c>
      <c r="S128" s="2">
        <v>107348.22</v>
      </c>
      <c r="T128" s="2">
        <v>842157.92</v>
      </c>
      <c r="U128" s="12">
        <f t="shared" si="8"/>
        <v>802864.55784386699</v>
      </c>
      <c r="V128">
        <f t="shared" si="9"/>
        <v>39293.362156133051</v>
      </c>
    </row>
    <row r="129" spans="1:22" ht="14.25">
      <c r="A129" s="2" t="s">
        <v>53</v>
      </c>
      <c r="B129" s="3">
        <v>45748</v>
      </c>
      <c r="C129" s="2" t="s">
        <v>24</v>
      </c>
      <c r="D129" s="2" t="s">
        <v>18</v>
      </c>
      <c r="E129" s="2">
        <v>37828.5</v>
      </c>
      <c r="F129" s="2">
        <v>8221</v>
      </c>
      <c r="G129" s="2">
        <v>9.6000000000000002E-2</v>
      </c>
      <c r="H129" s="2">
        <v>19</v>
      </c>
      <c r="I129" s="2">
        <v>81.5</v>
      </c>
      <c r="J129" s="2">
        <v>3.19</v>
      </c>
      <c r="K129" s="2">
        <v>0</v>
      </c>
      <c r="L129" s="2">
        <v>4.8</v>
      </c>
      <c r="M129" s="5">
        <f t="shared" si="0"/>
        <v>0</v>
      </c>
      <c r="N129" s="5">
        <f t="shared" si="1"/>
        <v>1</v>
      </c>
      <c r="O129" s="5">
        <f t="shared" si="2"/>
        <v>0</v>
      </c>
      <c r="P129" s="5">
        <f t="shared" si="3"/>
        <v>0</v>
      </c>
      <c r="Q129" s="5">
        <f t="shared" si="4"/>
        <v>1</v>
      </c>
      <c r="R129" s="5">
        <f t="shared" si="5"/>
        <v>0</v>
      </c>
      <c r="S129" s="2">
        <v>136408.54</v>
      </c>
      <c r="T129" s="2">
        <v>697155.3</v>
      </c>
      <c r="U129" s="12">
        <f t="shared" si="8"/>
        <v>714781.74252126191</v>
      </c>
      <c r="V129">
        <f t="shared" si="9"/>
        <v>-17626.442521261866</v>
      </c>
    </row>
    <row r="130" spans="1:22" ht="14.25">
      <c r="A130" s="2" t="s">
        <v>54</v>
      </c>
      <c r="B130" s="3">
        <v>45658</v>
      </c>
      <c r="C130" s="2" t="s">
        <v>15</v>
      </c>
      <c r="D130" s="2" t="s">
        <v>18</v>
      </c>
      <c r="E130" s="2">
        <v>66250.53</v>
      </c>
      <c r="F130" s="2">
        <v>10618</v>
      </c>
      <c r="G130" s="2">
        <v>0.14199999999999999</v>
      </c>
      <c r="H130" s="2">
        <v>27</v>
      </c>
      <c r="I130" s="2">
        <v>88.3</v>
      </c>
      <c r="J130" s="2">
        <v>1.1000000000000001</v>
      </c>
      <c r="K130" s="2">
        <v>1</v>
      </c>
      <c r="L130" s="2">
        <v>4.4000000000000004</v>
      </c>
      <c r="M130" s="5">
        <f t="shared" si="0"/>
        <v>0</v>
      </c>
      <c r="N130" s="5">
        <f t="shared" si="1"/>
        <v>0</v>
      </c>
      <c r="O130" s="5">
        <f t="shared" si="2"/>
        <v>1</v>
      </c>
      <c r="P130" s="5">
        <f t="shared" si="3"/>
        <v>0</v>
      </c>
      <c r="Q130" s="5">
        <f t="shared" si="4"/>
        <v>1</v>
      </c>
      <c r="R130" s="5">
        <f t="shared" si="5"/>
        <v>0</v>
      </c>
      <c r="S130" s="2">
        <v>149035.13</v>
      </c>
      <c r="T130" s="2">
        <v>849018.3</v>
      </c>
      <c r="U130" s="12">
        <f t="shared" si="8"/>
        <v>857937.84639980074</v>
      </c>
      <c r="V130">
        <f t="shared" si="9"/>
        <v>-8919.546399800689</v>
      </c>
    </row>
    <row r="131" spans="1:22" ht="14.25">
      <c r="A131" s="2" t="s">
        <v>54</v>
      </c>
      <c r="B131" s="3">
        <v>45689</v>
      </c>
      <c r="C131" s="2" t="s">
        <v>15</v>
      </c>
      <c r="D131" s="2" t="s">
        <v>18</v>
      </c>
      <c r="E131" s="2">
        <v>68410.929999999993</v>
      </c>
      <c r="F131" s="2">
        <v>10596</v>
      </c>
      <c r="G131" s="2">
        <v>0.20699999999999999</v>
      </c>
      <c r="H131" s="2">
        <v>25</v>
      </c>
      <c r="I131" s="2">
        <v>81.2</v>
      </c>
      <c r="J131" s="2">
        <v>0.21</v>
      </c>
      <c r="K131" s="2">
        <v>0</v>
      </c>
      <c r="L131" s="2">
        <v>4</v>
      </c>
      <c r="M131" s="5">
        <f t="shared" si="0"/>
        <v>0</v>
      </c>
      <c r="N131" s="5">
        <f t="shared" si="1"/>
        <v>0</v>
      </c>
      <c r="O131" s="5">
        <f t="shared" si="2"/>
        <v>1</v>
      </c>
      <c r="P131" s="5">
        <f t="shared" si="3"/>
        <v>0</v>
      </c>
      <c r="Q131" s="5">
        <f t="shared" si="4"/>
        <v>1</v>
      </c>
      <c r="R131" s="5">
        <f t="shared" si="5"/>
        <v>0</v>
      </c>
      <c r="S131" s="2">
        <v>114875.32</v>
      </c>
      <c r="T131" s="2">
        <v>801830.35</v>
      </c>
      <c r="U131" s="12">
        <f t="shared" ref="U131:U194" si="10">66915.46892
+(1.209928492*E131)
+(27.33619482*F131)
+(-41243.14883*G131)
+(3508.399163*H131)
+(3062.210286*I131)
+(-3438.10791*J131)
+(15157.28728*K131)
+(12509.46131*L131)
+(-15342.70531*M131)
+(-4201.853217*N131)
+(-25291.41891*O131)
+(32832.85351*P131)
+(20219.25907*Q131)
+(44695.0949*R131)</f>
        <v>811409.92783322756</v>
      </c>
      <c r="V131">
        <f t="shared" ref="V131:V194" si="11">T131-U131</f>
        <v>-9579.5778332275804</v>
      </c>
    </row>
    <row r="132" spans="1:22" ht="14.25">
      <c r="A132" s="2" t="s">
        <v>54</v>
      </c>
      <c r="B132" s="3">
        <v>45717</v>
      </c>
      <c r="C132" s="2" t="s">
        <v>15</v>
      </c>
      <c r="D132" s="2" t="s">
        <v>18</v>
      </c>
      <c r="E132" s="2">
        <v>50735.63</v>
      </c>
      <c r="F132" s="2">
        <v>9619</v>
      </c>
      <c r="G132" s="2">
        <v>0.14399999999999999</v>
      </c>
      <c r="H132" s="2">
        <v>19</v>
      </c>
      <c r="I132" s="2">
        <v>93.8</v>
      </c>
      <c r="J132" s="2">
        <v>5.12</v>
      </c>
      <c r="K132" s="2">
        <v>1</v>
      </c>
      <c r="L132" s="2">
        <v>4.5</v>
      </c>
      <c r="M132" s="5">
        <f t="shared" si="0"/>
        <v>0</v>
      </c>
      <c r="N132" s="5">
        <f t="shared" si="1"/>
        <v>0</v>
      </c>
      <c r="O132" s="5">
        <f t="shared" si="2"/>
        <v>1</v>
      </c>
      <c r="P132" s="5">
        <f t="shared" si="3"/>
        <v>0</v>
      </c>
      <c r="Q132" s="5">
        <f t="shared" si="4"/>
        <v>1</v>
      </c>
      <c r="R132" s="5">
        <f t="shared" si="5"/>
        <v>0</v>
      </c>
      <c r="S132" s="2">
        <v>121632.24</v>
      </c>
      <c r="T132" s="2">
        <v>725235.28</v>
      </c>
      <c r="U132" s="12">
        <f t="shared" si="10"/>
        <v>787979.29751822993</v>
      </c>
      <c r="V132">
        <f t="shared" si="11"/>
        <v>-62744.017518229899</v>
      </c>
    </row>
    <row r="133" spans="1:22" ht="14.25">
      <c r="A133" s="2" t="s">
        <v>54</v>
      </c>
      <c r="B133" s="3">
        <v>45748</v>
      </c>
      <c r="C133" s="2" t="s">
        <v>15</v>
      </c>
      <c r="D133" s="2" t="s">
        <v>18</v>
      </c>
      <c r="E133" s="2">
        <v>66455.8</v>
      </c>
      <c r="F133" s="2">
        <v>10836</v>
      </c>
      <c r="G133" s="2">
        <v>8.8999999999999996E-2</v>
      </c>
      <c r="H133" s="2">
        <v>25</v>
      </c>
      <c r="I133" s="2">
        <v>85</v>
      </c>
      <c r="J133" s="2">
        <v>9.77</v>
      </c>
      <c r="K133" s="2">
        <v>0</v>
      </c>
      <c r="L133" s="2">
        <v>4.5</v>
      </c>
      <c r="M133" s="5">
        <f t="shared" si="0"/>
        <v>0</v>
      </c>
      <c r="N133" s="5">
        <f t="shared" si="1"/>
        <v>0</v>
      </c>
      <c r="O133" s="5">
        <f t="shared" si="2"/>
        <v>1</v>
      </c>
      <c r="P133" s="5">
        <f t="shared" si="3"/>
        <v>0</v>
      </c>
      <c r="Q133" s="5">
        <f t="shared" si="4"/>
        <v>1</v>
      </c>
      <c r="R133" s="5">
        <f t="shared" si="5"/>
        <v>0</v>
      </c>
      <c r="S133" s="2">
        <v>131325.67000000001</v>
      </c>
      <c r="T133" s="2">
        <v>811452.72</v>
      </c>
      <c r="U133" s="12">
        <f t="shared" si="10"/>
        <v>805494.55678160361</v>
      </c>
      <c r="V133">
        <f t="shared" si="11"/>
        <v>5958.1632183963666</v>
      </c>
    </row>
    <row r="134" spans="1:22" ht="14.25">
      <c r="A134" s="2" t="s">
        <v>55</v>
      </c>
      <c r="B134" s="3">
        <v>45658</v>
      </c>
      <c r="C134" s="2" t="s">
        <v>20</v>
      </c>
      <c r="D134" s="2" t="s">
        <v>18</v>
      </c>
      <c r="E134" s="2">
        <v>70276.28</v>
      </c>
      <c r="F134" s="2">
        <v>3043</v>
      </c>
      <c r="G134" s="2">
        <v>7.9000000000000001E-2</v>
      </c>
      <c r="H134" s="2">
        <v>9</v>
      </c>
      <c r="I134" s="2">
        <v>87.9</v>
      </c>
      <c r="J134" s="2">
        <v>3.77</v>
      </c>
      <c r="K134" s="2">
        <v>0</v>
      </c>
      <c r="L134" s="2">
        <v>4.4000000000000004</v>
      </c>
      <c r="M134" s="5">
        <f t="shared" si="0"/>
        <v>1</v>
      </c>
      <c r="N134" s="5">
        <f t="shared" si="1"/>
        <v>0</v>
      </c>
      <c r="O134" s="5">
        <f t="shared" si="2"/>
        <v>0</v>
      </c>
      <c r="P134" s="5">
        <f t="shared" si="3"/>
        <v>0</v>
      </c>
      <c r="Q134" s="5">
        <f t="shared" si="4"/>
        <v>1</v>
      </c>
      <c r="R134" s="5">
        <f t="shared" si="5"/>
        <v>0</v>
      </c>
      <c r="S134" s="2">
        <v>84197.87</v>
      </c>
      <c r="T134" s="2">
        <v>527300.13</v>
      </c>
      <c r="U134" s="12">
        <f t="shared" si="10"/>
        <v>579570.96779315977</v>
      </c>
      <c r="V134">
        <f t="shared" si="11"/>
        <v>-52270.837793159764</v>
      </c>
    </row>
    <row r="135" spans="1:22" ht="14.25">
      <c r="A135" s="2" t="s">
        <v>55</v>
      </c>
      <c r="B135" s="3">
        <v>45689</v>
      </c>
      <c r="C135" s="2" t="s">
        <v>20</v>
      </c>
      <c r="D135" s="2" t="s">
        <v>18</v>
      </c>
      <c r="E135" s="2">
        <v>22071.64</v>
      </c>
      <c r="F135" s="2">
        <v>1814</v>
      </c>
      <c r="G135" s="2">
        <v>0.19600000000000001</v>
      </c>
      <c r="H135" s="2">
        <v>8</v>
      </c>
      <c r="I135" s="2">
        <v>81.099999999999994</v>
      </c>
      <c r="J135" s="2">
        <v>0.78</v>
      </c>
      <c r="K135" s="2">
        <v>0</v>
      </c>
      <c r="L135" s="4">
        <v>3.9</v>
      </c>
      <c r="M135" s="5">
        <f t="shared" si="0"/>
        <v>1</v>
      </c>
      <c r="N135" s="5">
        <f t="shared" si="1"/>
        <v>0</v>
      </c>
      <c r="O135" s="5">
        <f t="shared" si="2"/>
        <v>0</v>
      </c>
      <c r="P135" s="5">
        <f t="shared" si="3"/>
        <v>0</v>
      </c>
      <c r="Q135" s="5">
        <f t="shared" si="4"/>
        <v>1</v>
      </c>
      <c r="R135" s="5">
        <f t="shared" si="5"/>
        <v>0</v>
      </c>
      <c r="S135" s="2">
        <v>70979.31</v>
      </c>
      <c r="T135" s="2">
        <v>400831.65</v>
      </c>
      <c r="U135" s="12">
        <f t="shared" si="10"/>
        <v>462518.95145176689</v>
      </c>
      <c r="V135">
        <f t="shared" si="11"/>
        <v>-61687.301451766863</v>
      </c>
    </row>
    <row r="136" spans="1:22" ht="14.25">
      <c r="A136" s="2" t="s">
        <v>55</v>
      </c>
      <c r="B136" s="3">
        <v>45717</v>
      </c>
      <c r="C136" s="2" t="s">
        <v>20</v>
      </c>
      <c r="D136" s="2" t="s">
        <v>18</v>
      </c>
      <c r="E136" s="2">
        <v>52285.45</v>
      </c>
      <c r="F136" s="2">
        <v>3618</v>
      </c>
      <c r="G136" s="2">
        <v>8.5999999999999993E-2</v>
      </c>
      <c r="H136" s="2">
        <v>11</v>
      </c>
      <c r="I136" s="2">
        <v>95.6</v>
      </c>
      <c r="J136" s="2">
        <v>5.17</v>
      </c>
      <c r="K136" s="2">
        <v>1</v>
      </c>
      <c r="L136" s="2">
        <v>4.4000000000000004</v>
      </c>
      <c r="M136" s="5">
        <f t="shared" si="0"/>
        <v>1</v>
      </c>
      <c r="N136" s="5">
        <f t="shared" si="1"/>
        <v>0</v>
      </c>
      <c r="O136" s="5">
        <f t="shared" si="2"/>
        <v>0</v>
      </c>
      <c r="P136" s="5">
        <f t="shared" si="3"/>
        <v>0</v>
      </c>
      <c r="Q136" s="5">
        <f t="shared" si="4"/>
        <v>1</v>
      </c>
      <c r="R136" s="5">
        <f t="shared" si="5"/>
        <v>0</v>
      </c>
      <c r="S136" s="2">
        <v>81240.289999999994</v>
      </c>
      <c r="T136" s="2">
        <v>593247.25</v>
      </c>
      <c r="U136" s="12">
        <f t="shared" si="10"/>
        <v>614172.71369532135</v>
      </c>
      <c r="V136">
        <f t="shared" si="11"/>
        <v>-20925.463695321348</v>
      </c>
    </row>
    <row r="137" spans="1:22" ht="14.25">
      <c r="A137" s="2" t="s">
        <v>55</v>
      </c>
      <c r="B137" s="3">
        <v>45748</v>
      </c>
      <c r="C137" s="2" t="s">
        <v>20</v>
      </c>
      <c r="D137" s="2" t="s">
        <v>18</v>
      </c>
      <c r="E137" s="2">
        <v>70366.759999999995</v>
      </c>
      <c r="F137" s="2">
        <v>1963</v>
      </c>
      <c r="G137" s="2">
        <v>0.182</v>
      </c>
      <c r="H137" s="2">
        <v>8</v>
      </c>
      <c r="I137" s="2">
        <v>89.8</v>
      </c>
      <c r="J137" s="2">
        <v>3.2</v>
      </c>
      <c r="K137" s="2">
        <v>0</v>
      </c>
      <c r="L137" s="2">
        <v>4.5999999999999996</v>
      </c>
      <c r="M137" s="5">
        <f t="shared" si="0"/>
        <v>1</v>
      </c>
      <c r="N137" s="5">
        <f t="shared" si="1"/>
        <v>0</v>
      </c>
      <c r="O137" s="5">
        <f t="shared" si="2"/>
        <v>0</v>
      </c>
      <c r="P137" s="5">
        <f t="shared" si="3"/>
        <v>0</v>
      </c>
      <c r="Q137" s="5">
        <f t="shared" si="4"/>
        <v>1</v>
      </c>
      <c r="R137" s="5">
        <f t="shared" si="5"/>
        <v>0</v>
      </c>
      <c r="S137" s="2">
        <v>95978.83</v>
      </c>
      <c r="T137" s="2">
        <v>529075.94999999995</v>
      </c>
      <c r="U137" s="12">
        <f t="shared" si="10"/>
        <v>552680.72153912589</v>
      </c>
      <c r="V137">
        <f t="shared" si="11"/>
        <v>-23604.771539125941</v>
      </c>
    </row>
    <row r="138" spans="1:22" ht="14.25">
      <c r="A138" s="2" t="s">
        <v>56</v>
      </c>
      <c r="B138" s="3">
        <v>45658</v>
      </c>
      <c r="C138" s="2" t="s">
        <v>24</v>
      </c>
      <c r="D138" s="2" t="s">
        <v>16</v>
      </c>
      <c r="E138" s="2">
        <v>71320.66</v>
      </c>
      <c r="F138" s="2">
        <v>7888</v>
      </c>
      <c r="G138" s="2">
        <v>4.8000000000000001E-2</v>
      </c>
      <c r="H138" s="2">
        <v>20</v>
      </c>
      <c r="I138" s="2">
        <v>78.099999999999994</v>
      </c>
      <c r="J138" s="2">
        <v>3.4</v>
      </c>
      <c r="K138" s="2">
        <v>0</v>
      </c>
      <c r="L138" s="4">
        <v>3.9</v>
      </c>
      <c r="M138" s="5">
        <f t="shared" si="0"/>
        <v>0</v>
      </c>
      <c r="N138" s="5">
        <f t="shared" si="1"/>
        <v>1</v>
      </c>
      <c r="O138" s="5">
        <f t="shared" si="2"/>
        <v>0</v>
      </c>
      <c r="P138" s="5">
        <f t="shared" si="3"/>
        <v>0</v>
      </c>
      <c r="Q138" s="5">
        <f t="shared" si="4"/>
        <v>0</v>
      </c>
      <c r="R138" s="5">
        <f t="shared" si="5"/>
        <v>0</v>
      </c>
      <c r="S138" s="2">
        <v>99402.01</v>
      </c>
      <c r="T138" s="2">
        <v>633638.03</v>
      </c>
      <c r="U138" s="12">
        <f t="shared" si="10"/>
        <v>709078.68671316456</v>
      </c>
      <c r="V138">
        <f t="shared" si="11"/>
        <v>-75440.656713164528</v>
      </c>
    </row>
    <row r="139" spans="1:22" ht="14.25">
      <c r="A139" s="2" t="s">
        <v>56</v>
      </c>
      <c r="B139" s="3">
        <v>45689</v>
      </c>
      <c r="C139" s="2" t="s">
        <v>24</v>
      </c>
      <c r="D139" s="2" t="s">
        <v>16</v>
      </c>
      <c r="E139" s="2">
        <v>75109.67</v>
      </c>
      <c r="F139" s="2">
        <v>6244</v>
      </c>
      <c r="G139" s="2">
        <v>7.9000000000000001E-2</v>
      </c>
      <c r="H139" s="2">
        <v>15</v>
      </c>
      <c r="I139" s="2">
        <v>96.3</v>
      </c>
      <c r="J139" s="2">
        <v>7.38</v>
      </c>
      <c r="K139" s="2">
        <v>0</v>
      </c>
      <c r="L139" s="2">
        <v>3.7</v>
      </c>
      <c r="M139" s="5">
        <f t="shared" si="0"/>
        <v>0</v>
      </c>
      <c r="N139" s="5">
        <f t="shared" si="1"/>
        <v>1</v>
      </c>
      <c r="O139" s="5">
        <f t="shared" si="2"/>
        <v>0</v>
      </c>
      <c r="P139" s="5">
        <f t="shared" si="3"/>
        <v>0</v>
      </c>
      <c r="Q139" s="5">
        <f t="shared" si="4"/>
        <v>0</v>
      </c>
      <c r="R139" s="5">
        <f t="shared" si="5"/>
        <v>0</v>
      </c>
      <c r="S139" s="2">
        <v>104186.09</v>
      </c>
      <c r="T139" s="2">
        <v>743348.84</v>
      </c>
      <c r="U139" s="12">
        <f t="shared" si="10"/>
        <v>689448.54561722744</v>
      </c>
      <c r="V139">
        <f t="shared" si="11"/>
        <v>53900.294382772525</v>
      </c>
    </row>
    <row r="140" spans="1:22" ht="14.25">
      <c r="A140" s="2" t="s">
        <v>56</v>
      </c>
      <c r="B140" s="3">
        <v>45717</v>
      </c>
      <c r="C140" s="2" t="s">
        <v>24</v>
      </c>
      <c r="D140" s="2" t="s">
        <v>16</v>
      </c>
      <c r="E140" s="2">
        <v>69779</v>
      </c>
      <c r="F140" s="2">
        <v>6544</v>
      </c>
      <c r="G140" s="2">
        <v>0.152</v>
      </c>
      <c r="H140" s="2">
        <v>18</v>
      </c>
      <c r="I140" s="2">
        <v>90.2</v>
      </c>
      <c r="J140" s="2">
        <v>0.85</v>
      </c>
      <c r="K140" s="2">
        <v>1</v>
      </c>
      <c r="L140" s="2">
        <v>3.3</v>
      </c>
      <c r="M140" s="5">
        <f t="shared" si="0"/>
        <v>0</v>
      </c>
      <c r="N140" s="5">
        <f t="shared" si="1"/>
        <v>1</v>
      </c>
      <c r="O140" s="5">
        <f t="shared" si="2"/>
        <v>0</v>
      </c>
      <c r="P140" s="5">
        <f t="shared" si="3"/>
        <v>0</v>
      </c>
      <c r="Q140" s="5">
        <f t="shared" si="4"/>
        <v>0</v>
      </c>
      <c r="R140" s="5">
        <f t="shared" si="5"/>
        <v>0</v>
      </c>
      <c r="S140" s="2">
        <v>161439.48000000001</v>
      </c>
      <c r="T140" s="2">
        <v>758827.64</v>
      </c>
      <c r="U140" s="12">
        <f t="shared" si="10"/>
        <v>712638.98683688801</v>
      </c>
      <c r="V140">
        <f t="shared" si="11"/>
        <v>46188.653163112001</v>
      </c>
    </row>
    <row r="141" spans="1:22" ht="14.25">
      <c r="A141" s="2" t="s">
        <v>56</v>
      </c>
      <c r="B141" s="3">
        <v>45748</v>
      </c>
      <c r="C141" s="2" t="s">
        <v>24</v>
      </c>
      <c r="D141" s="2" t="s">
        <v>16</v>
      </c>
      <c r="E141" s="2">
        <v>44211.95</v>
      </c>
      <c r="F141" s="2">
        <v>5465</v>
      </c>
      <c r="G141" s="2">
        <v>0.187</v>
      </c>
      <c r="H141" s="2">
        <v>12</v>
      </c>
      <c r="I141" s="2">
        <v>90</v>
      </c>
      <c r="J141" s="2">
        <v>2.89</v>
      </c>
      <c r="K141" s="2">
        <v>0</v>
      </c>
      <c r="L141" s="2">
        <v>3.6</v>
      </c>
      <c r="M141" s="5">
        <f t="shared" si="0"/>
        <v>0</v>
      </c>
      <c r="N141" s="5">
        <f t="shared" si="1"/>
        <v>1</v>
      </c>
      <c r="O141" s="5">
        <f t="shared" si="2"/>
        <v>0</v>
      </c>
      <c r="P141" s="5">
        <f t="shared" si="3"/>
        <v>0</v>
      </c>
      <c r="Q141" s="5">
        <f t="shared" si="4"/>
        <v>0</v>
      </c>
      <c r="R141" s="5">
        <f t="shared" si="5"/>
        <v>0</v>
      </c>
      <c r="S141" s="2">
        <v>97981.75</v>
      </c>
      <c r="T141" s="2">
        <v>646559.71</v>
      </c>
      <c r="U141" s="12">
        <f t="shared" si="10"/>
        <v>610684.39410706935</v>
      </c>
      <c r="V141">
        <f t="shared" si="11"/>
        <v>35875.315892930608</v>
      </c>
    </row>
    <row r="142" spans="1:22" ht="14.25">
      <c r="A142" s="2" t="s">
        <v>57</v>
      </c>
      <c r="B142" s="3">
        <v>45658</v>
      </c>
      <c r="C142" s="2" t="s">
        <v>27</v>
      </c>
      <c r="D142" s="2" t="s">
        <v>18</v>
      </c>
      <c r="E142" s="2">
        <v>51430.31</v>
      </c>
      <c r="F142" s="2">
        <v>6427</v>
      </c>
      <c r="G142" s="2">
        <v>0.23400000000000001</v>
      </c>
      <c r="H142" s="2">
        <v>14</v>
      </c>
      <c r="I142" s="2">
        <v>88.8</v>
      </c>
      <c r="J142" s="2">
        <v>0.77</v>
      </c>
      <c r="K142" s="2">
        <v>0</v>
      </c>
      <c r="L142" s="2">
        <v>4.0999999999999996</v>
      </c>
      <c r="M142" s="5">
        <f t="shared" si="0"/>
        <v>0</v>
      </c>
      <c r="N142" s="5">
        <f t="shared" si="1"/>
        <v>0</v>
      </c>
      <c r="O142" s="5">
        <f t="shared" si="2"/>
        <v>0</v>
      </c>
      <c r="P142" s="5">
        <f t="shared" si="3"/>
        <v>0</v>
      </c>
      <c r="Q142" s="5">
        <f t="shared" si="4"/>
        <v>1</v>
      </c>
      <c r="R142" s="5">
        <f t="shared" si="5"/>
        <v>0</v>
      </c>
      <c r="S142" s="2">
        <v>109032.15</v>
      </c>
      <c r="T142" s="2">
        <v>715890.53</v>
      </c>
      <c r="U142" s="12">
        <f t="shared" si="10"/>
        <v>685083.8626524125</v>
      </c>
      <c r="V142">
        <f t="shared" si="11"/>
        <v>30806.667347587529</v>
      </c>
    </row>
    <row r="143" spans="1:22" ht="14.25">
      <c r="A143" s="2" t="s">
        <v>57</v>
      </c>
      <c r="B143" s="3">
        <v>45689</v>
      </c>
      <c r="C143" s="2" t="s">
        <v>27</v>
      </c>
      <c r="D143" s="2" t="s">
        <v>18</v>
      </c>
      <c r="E143" s="2">
        <v>45706.49</v>
      </c>
      <c r="F143" s="2">
        <v>6704</v>
      </c>
      <c r="G143" s="2">
        <v>3.7999999999999999E-2</v>
      </c>
      <c r="H143" s="2">
        <v>15</v>
      </c>
      <c r="I143" s="2">
        <v>94.2</v>
      </c>
      <c r="J143" s="2">
        <v>2.92</v>
      </c>
      <c r="K143" s="2">
        <v>0</v>
      </c>
      <c r="L143" s="2">
        <v>4.2</v>
      </c>
      <c r="M143" s="5">
        <f t="shared" si="0"/>
        <v>0</v>
      </c>
      <c r="N143" s="5">
        <f t="shared" si="1"/>
        <v>0</v>
      </c>
      <c r="O143" s="5">
        <f t="shared" si="2"/>
        <v>0</v>
      </c>
      <c r="P143" s="5">
        <f t="shared" si="3"/>
        <v>0</v>
      </c>
      <c r="Q143" s="5">
        <f t="shared" si="4"/>
        <v>1</v>
      </c>
      <c r="R143" s="5">
        <f t="shared" si="5"/>
        <v>0</v>
      </c>
      <c r="S143" s="2">
        <v>151875.85999999999</v>
      </c>
      <c r="T143" s="2">
        <v>715097.57</v>
      </c>
      <c r="U143" s="12">
        <f t="shared" si="10"/>
        <v>707717.58171905309</v>
      </c>
      <c r="V143">
        <f t="shared" si="11"/>
        <v>7379.9882809468545</v>
      </c>
    </row>
    <row r="144" spans="1:22" ht="14.25">
      <c r="A144" s="2" t="s">
        <v>57</v>
      </c>
      <c r="B144" s="3">
        <v>45717</v>
      </c>
      <c r="C144" s="2" t="s">
        <v>27</v>
      </c>
      <c r="D144" s="2" t="s">
        <v>18</v>
      </c>
      <c r="E144" s="2">
        <v>44034.6</v>
      </c>
      <c r="F144" s="2">
        <v>5645</v>
      </c>
      <c r="G144" s="2">
        <v>6.9000000000000006E-2</v>
      </c>
      <c r="H144" s="2">
        <v>18</v>
      </c>
      <c r="I144" s="2">
        <v>88.5</v>
      </c>
      <c r="J144" s="2">
        <v>3.07</v>
      </c>
      <c r="K144" s="2">
        <v>0</v>
      </c>
      <c r="L144" s="2">
        <v>3.8</v>
      </c>
      <c r="M144" s="5">
        <f t="shared" si="0"/>
        <v>0</v>
      </c>
      <c r="N144" s="5">
        <f t="shared" si="1"/>
        <v>0</v>
      </c>
      <c r="O144" s="5">
        <f t="shared" si="2"/>
        <v>0</v>
      </c>
      <c r="P144" s="5">
        <f t="shared" si="3"/>
        <v>0</v>
      </c>
      <c r="Q144" s="5">
        <f t="shared" si="4"/>
        <v>1</v>
      </c>
      <c r="R144" s="5">
        <f t="shared" si="5"/>
        <v>0</v>
      </c>
      <c r="S144" s="2">
        <v>77557.53</v>
      </c>
      <c r="T144" s="2">
        <v>682639.28</v>
      </c>
      <c r="U144" s="12">
        <f t="shared" si="10"/>
        <v>663018.24459275336</v>
      </c>
      <c r="V144">
        <f t="shared" si="11"/>
        <v>19621.035407246673</v>
      </c>
    </row>
    <row r="145" spans="1:22" ht="14.25">
      <c r="A145" s="2" t="s">
        <v>57</v>
      </c>
      <c r="B145" s="3">
        <v>45748</v>
      </c>
      <c r="C145" s="2" t="s">
        <v>27</v>
      </c>
      <c r="D145" s="2" t="s">
        <v>18</v>
      </c>
      <c r="E145" s="2">
        <v>50198.12</v>
      </c>
      <c r="F145" s="2">
        <v>6089</v>
      </c>
      <c r="G145" s="2">
        <v>0.182</v>
      </c>
      <c r="H145" s="2">
        <v>19</v>
      </c>
      <c r="I145" s="2">
        <v>94</v>
      </c>
      <c r="J145" s="2">
        <v>9.6999999999999993</v>
      </c>
      <c r="K145" s="2">
        <v>0</v>
      </c>
      <c r="L145" s="2">
        <v>3.9</v>
      </c>
      <c r="M145" s="5">
        <f t="shared" si="0"/>
        <v>0</v>
      </c>
      <c r="N145" s="5">
        <f t="shared" si="1"/>
        <v>0</v>
      </c>
      <c r="O145" s="5">
        <f t="shared" si="2"/>
        <v>0</v>
      </c>
      <c r="P145" s="5">
        <f t="shared" si="3"/>
        <v>0</v>
      </c>
      <c r="Q145" s="5">
        <f t="shared" si="4"/>
        <v>1</v>
      </c>
      <c r="R145" s="5">
        <f t="shared" si="5"/>
        <v>0</v>
      </c>
      <c r="S145" s="2">
        <v>108192.75</v>
      </c>
      <c r="T145" s="2">
        <v>695098.51</v>
      </c>
      <c r="U145" s="12">
        <f t="shared" si="10"/>
        <v>676759.30415775499</v>
      </c>
      <c r="V145">
        <f t="shared" si="11"/>
        <v>18339.205842245021</v>
      </c>
    </row>
    <row r="146" spans="1:22" ht="14.25">
      <c r="A146" s="2" t="s">
        <v>58</v>
      </c>
      <c r="B146" s="3">
        <v>45658</v>
      </c>
      <c r="C146" s="2" t="s">
        <v>20</v>
      </c>
      <c r="D146" s="2" t="s">
        <v>16</v>
      </c>
      <c r="E146" s="2">
        <v>70488.2</v>
      </c>
      <c r="F146" s="2">
        <v>4312</v>
      </c>
      <c r="G146" s="2">
        <v>0.16900000000000001</v>
      </c>
      <c r="H146" s="2">
        <v>12</v>
      </c>
      <c r="I146" s="2">
        <v>90.2</v>
      </c>
      <c r="J146" s="2">
        <v>3.71</v>
      </c>
      <c r="K146" s="2">
        <v>0</v>
      </c>
      <c r="L146" s="2">
        <v>3.2</v>
      </c>
      <c r="M146" s="5">
        <f t="shared" si="0"/>
        <v>1</v>
      </c>
      <c r="N146" s="5">
        <f t="shared" si="1"/>
        <v>0</v>
      </c>
      <c r="O146" s="5">
        <f t="shared" si="2"/>
        <v>0</v>
      </c>
      <c r="P146" s="5">
        <f t="shared" si="3"/>
        <v>0</v>
      </c>
      <c r="Q146" s="5">
        <f t="shared" si="4"/>
        <v>0</v>
      </c>
      <c r="R146" s="5">
        <f t="shared" si="5"/>
        <v>0</v>
      </c>
      <c r="S146" s="2">
        <v>93804.27</v>
      </c>
      <c r="T146" s="2">
        <v>577732.56999999995</v>
      </c>
      <c r="U146" s="12">
        <f t="shared" si="10"/>
        <v>593349.07865046442</v>
      </c>
      <c r="V146">
        <f t="shared" si="11"/>
        <v>-15616.508650464471</v>
      </c>
    </row>
    <row r="147" spans="1:22" ht="14.25">
      <c r="A147" s="2" t="s">
        <v>58</v>
      </c>
      <c r="B147" s="3">
        <v>45689</v>
      </c>
      <c r="C147" s="2" t="s">
        <v>20</v>
      </c>
      <c r="D147" s="2" t="s">
        <v>16</v>
      </c>
      <c r="E147" s="2">
        <v>50909.27</v>
      </c>
      <c r="F147" s="2">
        <v>3152</v>
      </c>
      <c r="G147" s="2">
        <v>0.06</v>
      </c>
      <c r="H147" s="2">
        <v>13</v>
      </c>
      <c r="I147" s="2">
        <v>93.7</v>
      </c>
      <c r="J147" s="2">
        <v>10.79</v>
      </c>
      <c r="K147" s="2">
        <v>0</v>
      </c>
      <c r="L147" s="2">
        <v>3.5</v>
      </c>
      <c r="M147" s="5">
        <f t="shared" si="0"/>
        <v>1</v>
      </c>
      <c r="N147" s="5">
        <f t="shared" si="1"/>
        <v>0</v>
      </c>
      <c r="O147" s="5">
        <f t="shared" si="2"/>
        <v>0</v>
      </c>
      <c r="P147" s="5">
        <f t="shared" si="3"/>
        <v>0</v>
      </c>
      <c r="Q147" s="5">
        <f t="shared" si="4"/>
        <v>0</v>
      </c>
      <c r="R147" s="5">
        <f t="shared" si="5"/>
        <v>0</v>
      </c>
      <c r="S147" s="2">
        <v>93555.71</v>
      </c>
      <c r="T147" s="2">
        <v>537058.32999999996</v>
      </c>
      <c r="U147" s="12">
        <f t="shared" si="10"/>
        <v>536082.66018606082</v>
      </c>
      <c r="V147">
        <f t="shared" si="11"/>
        <v>975.66981393913738</v>
      </c>
    </row>
    <row r="148" spans="1:22" ht="14.25">
      <c r="A148" s="2" t="s">
        <v>58</v>
      </c>
      <c r="B148" s="3">
        <v>45717</v>
      </c>
      <c r="C148" s="2" t="s">
        <v>20</v>
      </c>
      <c r="D148" s="2" t="s">
        <v>16</v>
      </c>
      <c r="E148" s="2">
        <v>53351.7</v>
      </c>
      <c r="F148" s="2">
        <v>4259</v>
      </c>
      <c r="G148" s="2">
        <v>0.156</v>
      </c>
      <c r="H148" s="2">
        <v>15</v>
      </c>
      <c r="I148" s="2">
        <v>93.7</v>
      </c>
      <c r="J148" s="2">
        <v>6.03</v>
      </c>
      <c r="K148" s="2">
        <v>0</v>
      </c>
      <c r="L148" s="2">
        <v>3.4</v>
      </c>
      <c r="M148" s="5">
        <f t="shared" si="0"/>
        <v>1</v>
      </c>
      <c r="N148" s="5">
        <f t="shared" si="1"/>
        <v>0</v>
      </c>
      <c r="O148" s="5">
        <f t="shared" si="2"/>
        <v>0</v>
      </c>
      <c r="P148" s="5">
        <f t="shared" si="3"/>
        <v>0</v>
      </c>
      <c r="Q148" s="5">
        <f t="shared" si="4"/>
        <v>0</v>
      </c>
      <c r="R148" s="5">
        <f t="shared" si="5"/>
        <v>0</v>
      </c>
      <c r="S148" s="2">
        <v>91634.82</v>
      </c>
      <c r="T148" s="2">
        <v>601568.87</v>
      </c>
      <c r="U148" s="12">
        <f t="shared" si="10"/>
        <v>587470.89705743641</v>
      </c>
      <c r="V148">
        <f t="shared" si="11"/>
        <v>14097.972942563589</v>
      </c>
    </row>
    <row r="149" spans="1:22" ht="14.25">
      <c r="A149" s="2" t="s">
        <v>58</v>
      </c>
      <c r="B149" s="3">
        <v>45748</v>
      </c>
      <c r="C149" s="2" t="s">
        <v>20</v>
      </c>
      <c r="D149" s="2" t="s">
        <v>16</v>
      </c>
      <c r="E149" s="2">
        <v>60322.400000000001</v>
      </c>
      <c r="F149" s="2">
        <v>3350</v>
      </c>
      <c r="G149" s="2">
        <v>0.108</v>
      </c>
      <c r="H149" s="2">
        <v>12</v>
      </c>
      <c r="I149" s="2">
        <v>89.4</v>
      </c>
      <c r="J149" s="2">
        <v>4.92</v>
      </c>
      <c r="K149" s="2">
        <v>0</v>
      </c>
      <c r="L149" s="2">
        <v>3.4</v>
      </c>
      <c r="M149" s="5">
        <f t="shared" si="0"/>
        <v>1</v>
      </c>
      <c r="N149" s="5">
        <f t="shared" si="1"/>
        <v>0</v>
      </c>
      <c r="O149" s="5">
        <f t="shared" si="2"/>
        <v>0</v>
      </c>
      <c r="P149" s="5">
        <f t="shared" si="3"/>
        <v>0</v>
      </c>
      <c r="Q149" s="5">
        <f t="shared" si="4"/>
        <v>0</v>
      </c>
      <c r="R149" s="5">
        <f t="shared" si="5"/>
        <v>0</v>
      </c>
      <c r="S149" s="2">
        <v>81331.070000000007</v>
      </c>
      <c r="T149" s="2">
        <v>570964.84</v>
      </c>
      <c r="U149" s="12">
        <f t="shared" si="10"/>
        <v>553159.61371038086</v>
      </c>
      <c r="V149">
        <f t="shared" si="11"/>
        <v>17805.22628961911</v>
      </c>
    </row>
    <row r="150" spans="1:22" ht="14.25">
      <c r="A150" s="2" t="s">
        <v>59</v>
      </c>
      <c r="B150" s="3">
        <v>45658</v>
      </c>
      <c r="C150" s="2" t="s">
        <v>24</v>
      </c>
      <c r="D150" s="2" t="s">
        <v>28</v>
      </c>
      <c r="E150" s="2">
        <v>51575.68</v>
      </c>
      <c r="F150" s="2">
        <v>5329</v>
      </c>
      <c r="G150" s="2">
        <v>4.7E-2</v>
      </c>
      <c r="H150" s="2">
        <v>17</v>
      </c>
      <c r="I150" s="2">
        <v>88.1</v>
      </c>
      <c r="J150" s="2">
        <v>19.78</v>
      </c>
      <c r="K150" s="2">
        <v>0</v>
      </c>
      <c r="L150" s="2">
        <v>3.8</v>
      </c>
      <c r="M150" s="5">
        <f t="shared" si="0"/>
        <v>0</v>
      </c>
      <c r="N150" s="5">
        <f t="shared" si="1"/>
        <v>1</v>
      </c>
      <c r="O150" s="5">
        <f t="shared" si="2"/>
        <v>0</v>
      </c>
      <c r="P150" s="5">
        <f t="shared" si="3"/>
        <v>1</v>
      </c>
      <c r="Q150" s="5">
        <f t="shared" si="4"/>
        <v>0</v>
      </c>
      <c r="R150" s="5">
        <f t="shared" si="5"/>
        <v>0</v>
      </c>
      <c r="S150" s="2">
        <v>84828.93</v>
      </c>
      <c r="T150" s="2">
        <v>614024.91</v>
      </c>
      <c r="U150" s="12">
        <f t="shared" si="10"/>
        <v>610639.19862584467</v>
      </c>
      <c r="V150">
        <f t="shared" si="11"/>
        <v>3385.7113741553621</v>
      </c>
    </row>
    <row r="151" spans="1:22" ht="14.25">
      <c r="A151" s="2" t="s">
        <v>59</v>
      </c>
      <c r="B151" s="3">
        <v>45689</v>
      </c>
      <c r="C151" s="2" t="s">
        <v>24</v>
      </c>
      <c r="D151" s="2" t="s">
        <v>28</v>
      </c>
      <c r="E151" s="2">
        <v>43319.94</v>
      </c>
      <c r="F151" s="2">
        <v>6551</v>
      </c>
      <c r="G151" s="2">
        <v>4.3999999999999997E-2</v>
      </c>
      <c r="H151" s="2">
        <v>13</v>
      </c>
      <c r="I151" s="2">
        <v>99</v>
      </c>
      <c r="J151" s="2">
        <v>5.45</v>
      </c>
      <c r="K151" s="2">
        <v>0</v>
      </c>
      <c r="L151" s="2">
        <v>4.0999999999999996</v>
      </c>
      <c r="M151" s="5">
        <f t="shared" si="0"/>
        <v>0</v>
      </c>
      <c r="N151" s="5">
        <f t="shared" si="1"/>
        <v>1</v>
      </c>
      <c r="O151" s="5">
        <f t="shared" si="2"/>
        <v>0</v>
      </c>
      <c r="P151" s="5">
        <f t="shared" si="3"/>
        <v>1</v>
      </c>
      <c r="Q151" s="5">
        <f t="shared" si="4"/>
        <v>0</v>
      </c>
      <c r="R151" s="5">
        <f t="shared" si="5"/>
        <v>0</v>
      </c>
      <c r="S151" s="2">
        <v>133650.51</v>
      </c>
      <c r="T151" s="2">
        <v>712868.35</v>
      </c>
      <c r="U151" s="12">
        <f t="shared" si="10"/>
        <v>706544.32330253045</v>
      </c>
      <c r="V151">
        <f t="shared" si="11"/>
        <v>6324.026697469526</v>
      </c>
    </row>
    <row r="152" spans="1:22" ht="14.25">
      <c r="A152" s="2" t="s">
        <v>59</v>
      </c>
      <c r="B152" s="3">
        <v>45717</v>
      </c>
      <c r="C152" s="2" t="s">
        <v>24</v>
      </c>
      <c r="D152" s="2" t="s">
        <v>28</v>
      </c>
      <c r="E152" s="2">
        <v>47093.55</v>
      </c>
      <c r="F152" s="2">
        <v>5550</v>
      </c>
      <c r="G152" s="2">
        <v>0.1</v>
      </c>
      <c r="H152" s="2">
        <v>12</v>
      </c>
      <c r="I152" s="2">
        <v>95</v>
      </c>
      <c r="J152" s="2">
        <v>2.33</v>
      </c>
      <c r="K152" s="2">
        <v>1</v>
      </c>
      <c r="L152" s="2">
        <v>3.7</v>
      </c>
      <c r="M152" s="5">
        <f t="shared" si="0"/>
        <v>0</v>
      </c>
      <c r="N152" s="5">
        <f t="shared" si="1"/>
        <v>1</v>
      </c>
      <c r="O152" s="5">
        <f t="shared" si="2"/>
        <v>0</v>
      </c>
      <c r="P152" s="5">
        <f t="shared" si="3"/>
        <v>1</v>
      </c>
      <c r="Q152" s="5">
        <f t="shared" si="4"/>
        <v>0</v>
      </c>
      <c r="R152" s="5">
        <f t="shared" si="5"/>
        <v>0</v>
      </c>
      <c r="S152" s="2">
        <v>152230.09</v>
      </c>
      <c r="T152" s="2">
        <v>696744.15</v>
      </c>
      <c r="U152" s="12">
        <f t="shared" si="10"/>
        <v>686560.1333381267</v>
      </c>
      <c r="V152">
        <f t="shared" si="11"/>
        <v>10184.01666187332</v>
      </c>
    </row>
    <row r="153" spans="1:22" ht="14.25">
      <c r="A153" s="2" t="s">
        <v>59</v>
      </c>
      <c r="B153" s="3">
        <v>45748</v>
      </c>
      <c r="C153" s="2" t="s">
        <v>24</v>
      </c>
      <c r="D153" s="2" t="s">
        <v>28</v>
      </c>
      <c r="E153" s="2">
        <v>71855.09</v>
      </c>
      <c r="F153" s="2">
        <v>5911</v>
      </c>
      <c r="G153" s="2">
        <v>0.19700000000000001</v>
      </c>
      <c r="H153" s="2">
        <v>15</v>
      </c>
      <c r="I153" s="2">
        <v>94.3</v>
      </c>
      <c r="J153" s="2">
        <v>3.55</v>
      </c>
      <c r="K153" s="2">
        <v>0</v>
      </c>
      <c r="L153" s="2">
        <v>4.0999999999999996</v>
      </c>
      <c r="M153" s="5">
        <f t="shared" si="0"/>
        <v>0</v>
      </c>
      <c r="N153" s="5">
        <f t="shared" si="1"/>
        <v>1</v>
      </c>
      <c r="O153" s="5">
        <f t="shared" si="2"/>
        <v>0</v>
      </c>
      <c r="P153" s="5">
        <f t="shared" si="3"/>
        <v>1</v>
      </c>
      <c r="Q153" s="5">
        <f t="shared" si="4"/>
        <v>0</v>
      </c>
      <c r="R153" s="5">
        <f t="shared" si="5"/>
        <v>0</v>
      </c>
      <c r="S153" s="2">
        <v>122698.73</v>
      </c>
      <c r="T153" s="2">
        <v>725847.99</v>
      </c>
      <c r="U153" s="12">
        <f t="shared" si="10"/>
        <v>716421.26286603429</v>
      </c>
      <c r="V153">
        <f t="shared" si="11"/>
        <v>9426.7271339657018</v>
      </c>
    </row>
    <row r="154" spans="1:22" ht="14.25">
      <c r="A154" s="2" t="s">
        <v>60</v>
      </c>
      <c r="B154" s="3">
        <v>45658</v>
      </c>
      <c r="C154" s="2" t="s">
        <v>15</v>
      </c>
      <c r="D154" s="2" t="s">
        <v>18</v>
      </c>
      <c r="E154" s="2">
        <v>75645.23</v>
      </c>
      <c r="F154" s="2">
        <v>9674</v>
      </c>
      <c r="G154" s="2">
        <v>0.23400000000000001</v>
      </c>
      <c r="H154" s="2">
        <v>21</v>
      </c>
      <c r="I154" s="2">
        <v>87.4</v>
      </c>
      <c r="J154" s="2">
        <v>0.2</v>
      </c>
      <c r="K154" s="2">
        <v>0</v>
      </c>
      <c r="L154" s="2">
        <v>4.5</v>
      </c>
      <c r="M154" s="5">
        <f t="shared" si="0"/>
        <v>0</v>
      </c>
      <c r="N154" s="5">
        <f t="shared" si="1"/>
        <v>0</v>
      </c>
      <c r="O154" s="5">
        <f t="shared" si="2"/>
        <v>1</v>
      </c>
      <c r="P154" s="5">
        <f t="shared" si="3"/>
        <v>0</v>
      </c>
      <c r="Q154" s="5">
        <f t="shared" si="4"/>
        <v>1</v>
      </c>
      <c r="R154" s="5">
        <f t="shared" si="5"/>
        <v>0</v>
      </c>
      <c r="S154" s="2">
        <v>110726.44</v>
      </c>
      <c r="T154" s="2">
        <v>785028.25</v>
      </c>
      <c r="U154" s="12">
        <f t="shared" si="10"/>
        <v>805086.59573575319</v>
      </c>
      <c r="V154">
        <f t="shared" si="11"/>
        <v>-20058.345735753188</v>
      </c>
    </row>
    <row r="155" spans="1:22" ht="14.25">
      <c r="A155" s="2" t="s">
        <v>60</v>
      </c>
      <c r="B155" s="3">
        <v>45689</v>
      </c>
      <c r="C155" s="2" t="s">
        <v>15</v>
      </c>
      <c r="D155" s="2" t="s">
        <v>18</v>
      </c>
      <c r="E155" s="2">
        <v>64374.75</v>
      </c>
      <c r="F155" s="2">
        <v>6740</v>
      </c>
      <c r="G155" s="2">
        <v>0.16900000000000001</v>
      </c>
      <c r="H155" s="2">
        <v>18</v>
      </c>
      <c r="I155" s="2">
        <v>87</v>
      </c>
      <c r="J155" s="2">
        <v>2.09</v>
      </c>
      <c r="K155" s="2">
        <v>0</v>
      </c>
      <c r="L155" s="2">
        <v>4.2</v>
      </c>
      <c r="M155" s="5">
        <f t="shared" si="0"/>
        <v>0</v>
      </c>
      <c r="N155" s="5">
        <f t="shared" si="1"/>
        <v>0</v>
      </c>
      <c r="O155" s="5">
        <f t="shared" si="2"/>
        <v>1</v>
      </c>
      <c r="P155" s="5">
        <f t="shared" si="3"/>
        <v>0</v>
      </c>
      <c r="Q155" s="5">
        <f t="shared" si="4"/>
        <v>1</v>
      </c>
      <c r="R155" s="5">
        <f t="shared" si="5"/>
        <v>0</v>
      </c>
      <c r="S155" s="2">
        <v>117319.32</v>
      </c>
      <c r="T155" s="2">
        <v>698492.67</v>
      </c>
      <c r="U155" s="12">
        <f t="shared" si="10"/>
        <v>691925.58599100716</v>
      </c>
      <c r="V155">
        <f t="shared" si="11"/>
        <v>6567.0840089928824</v>
      </c>
    </row>
    <row r="156" spans="1:22" ht="14.25">
      <c r="A156" s="2" t="s">
        <v>60</v>
      </c>
      <c r="B156" s="3">
        <v>45717</v>
      </c>
      <c r="C156" s="2" t="s">
        <v>15</v>
      </c>
      <c r="D156" s="2" t="s">
        <v>18</v>
      </c>
      <c r="E156" s="2">
        <v>61433.84</v>
      </c>
      <c r="F156" s="2">
        <v>7745</v>
      </c>
      <c r="G156" s="2">
        <v>0.18</v>
      </c>
      <c r="H156" s="2">
        <v>16</v>
      </c>
      <c r="I156" s="2">
        <v>90.5</v>
      </c>
      <c r="J156" s="2">
        <v>2.2599999999999998</v>
      </c>
      <c r="K156" s="2">
        <v>0</v>
      </c>
      <c r="L156" s="2">
        <v>4.2</v>
      </c>
      <c r="M156" s="5">
        <f t="shared" si="0"/>
        <v>0</v>
      </c>
      <c r="N156" s="5">
        <f t="shared" si="1"/>
        <v>0</v>
      </c>
      <c r="O156" s="5">
        <f t="shared" si="2"/>
        <v>1</v>
      </c>
      <c r="P156" s="5">
        <f t="shared" si="3"/>
        <v>0</v>
      </c>
      <c r="Q156" s="5">
        <f t="shared" si="4"/>
        <v>1</v>
      </c>
      <c r="R156" s="5">
        <f t="shared" si="5"/>
        <v>0</v>
      </c>
      <c r="S156" s="2">
        <v>128736.18</v>
      </c>
      <c r="T156" s="2">
        <v>685830.24</v>
      </c>
      <c r="U156" s="12">
        <f t="shared" si="10"/>
        <v>718502.95567686937</v>
      </c>
      <c r="V156">
        <f t="shared" si="11"/>
        <v>-32672.715676869382</v>
      </c>
    </row>
    <row r="157" spans="1:22" ht="14.25">
      <c r="A157" s="2" t="s">
        <v>60</v>
      </c>
      <c r="B157" s="3">
        <v>45748</v>
      </c>
      <c r="C157" s="2" t="s">
        <v>15</v>
      </c>
      <c r="D157" s="2" t="s">
        <v>18</v>
      </c>
      <c r="E157" s="2">
        <v>42698.14</v>
      </c>
      <c r="F157" s="2">
        <v>7693</v>
      </c>
      <c r="G157" s="2">
        <v>0.187</v>
      </c>
      <c r="H157" s="2">
        <v>19</v>
      </c>
      <c r="I157" s="2">
        <v>90.1</v>
      </c>
      <c r="J157" s="2">
        <v>0.44</v>
      </c>
      <c r="K157" s="2">
        <v>0</v>
      </c>
      <c r="L157" s="2">
        <v>4.4000000000000004</v>
      </c>
      <c r="M157" s="5">
        <f t="shared" si="0"/>
        <v>0</v>
      </c>
      <c r="N157" s="5">
        <f t="shared" si="1"/>
        <v>0</v>
      </c>
      <c r="O157" s="5">
        <f t="shared" si="2"/>
        <v>1</v>
      </c>
      <c r="P157" s="5">
        <f t="shared" si="3"/>
        <v>0</v>
      </c>
      <c r="Q157" s="5">
        <f t="shared" si="4"/>
        <v>1</v>
      </c>
      <c r="R157" s="5">
        <f t="shared" si="5"/>
        <v>0</v>
      </c>
      <c r="S157" s="2">
        <v>112829.29</v>
      </c>
      <c r="T157" s="2">
        <v>702318.94</v>
      </c>
      <c r="U157" s="12">
        <f t="shared" si="10"/>
        <v>712183.47628965485</v>
      </c>
      <c r="V157">
        <f t="shared" si="11"/>
        <v>-9864.536289654905</v>
      </c>
    </row>
    <row r="158" spans="1:22" ht="14.25">
      <c r="A158" s="2" t="s">
        <v>61</v>
      </c>
      <c r="B158" s="3">
        <v>45658</v>
      </c>
      <c r="C158" s="2" t="s">
        <v>20</v>
      </c>
      <c r="D158" s="2" t="s">
        <v>28</v>
      </c>
      <c r="E158" s="2">
        <v>86883.31</v>
      </c>
      <c r="F158" s="2">
        <v>6424</v>
      </c>
      <c r="G158" s="2">
        <v>5.7000000000000002E-2</v>
      </c>
      <c r="H158" s="2">
        <v>19</v>
      </c>
      <c r="I158" s="2">
        <v>85.2</v>
      </c>
      <c r="J158" s="2">
        <v>3.08</v>
      </c>
      <c r="K158" s="2">
        <v>0</v>
      </c>
      <c r="L158" s="2">
        <v>3.9</v>
      </c>
      <c r="M158" s="5">
        <f t="shared" si="0"/>
        <v>1</v>
      </c>
      <c r="N158" s="5">
        <f t="shared" si="1"/>
        <v>0</v>
      </c>
      <c r="O158" s="5">
        <f t="shared" si="2"/>
        <v>0</v>
      </c>
      <c r="P158" s="5">
        <f t="shared" si="3"/>
        <v>1</v>
      </c>
      <c r="Q158" s="5">
        <f t="shared" si="4"/>
        <v>0</v>
      </c>
      <c r="R158" s="5">
        <f t="shared" si="5"/>
        <v>0</v>
      </c>
      <c r="S158" s="2">
        <v>123707.58</v>
      </c>
      <c r="T158" s="2">
        <v>700078.32</v>
      </c>
      <c r="U158" s="12">
        <f t="shared" si="10"/>
        <v>728542.49261903856</v>
      </c>
      <c r="V158">
        <f t="shared" si="11"/>
        <v>-28464.172619038611</v>
      </c>
    </row>
    <row r="159" spans="1:22" ht="14.25">
      <c r="A159" s="2" t="s">
        <v>61</v>
      </c>
      <c r="B159" s="3">
        <v>45689</v>
      </c>
      <c r="C159" s="2" t="s">
        <v>20</v>
      </c>
      <c r="D159" s="2" t="s">
        <v>28</v>
      </c>
      <c r="E159" s="2">
        <v>41863.08</v>
      </c>
      <c r="F159" s="2">
        <v>5400</v>
      </c>
      <c r="G159" s="2">
        <v>0.114</v>
      </c>
      <c r="H159" s="2">
        <v>11</v>
      </c>
      <c r="I159" s="2">
        <v>91.6</v>
      </c>
      <c r="J159" s="2">
        <v>7.99</v>
      </c>
      <c r="K159" s="2">
        <v>0</v>
      </c>
      <c r="L159" s="2">
        <v>3</v>
      </c>
      <c r="M159" s="5">
        <f t="shared" si="0"/>
        <v>1</v>
      </c>
      <c r="N159" s="5">
        <f t="shared" si="1"/>
        <v>0</v>
      </c>
      <c r="O159" s="5">
        <f t="shared" si="2"/>
        <v>0</v>
      </c>
      <c r="P159" s="5">
        <f t="shared" si="3"/>
        <v>1</v>
      </c>
      <c r="Q159" s="5">
        <f t="shared" si="4"/>
        <v>0</v>
      </c>
      <c r="R159" s="5">
        <f t="shared" si="5"/>
        <v>0</v>
      </c>
      <c r="S159" s="2">
        <v>110453.28</v>
      </c>
      <c r="T159" s="2">
        <v>602002.31999999995</v>
      </c>
      <c r="U159" s="12">
        <f t="shared" si="10"/>
        <v>607119.4381559554</v>
      </c>
      <c r="V159">
        <f t="shared" si="11"/>
        <v>-5117.1181559554534</v>
      </c>
    </row>
    <row r="160" spans="1:22" ht="14.25">
      <c r="A160" s="2" t="s">
        <v>61</v>
      </c>
      <c r="B160" s="3">
        <v>45717</v>
      </c>
      <c r="C160" s="2" t="s">
        <v>20</v>
      </c>
      <c r="D160" s="2" t="s">
        <v>28</v>
      </c>
      <c r="E160" s="2">
        <v>56918.16</v>
      </c>
      <c r="F160" s="2">
        <v>7015</v>
      </c>
      <c r="G160" s="2">
        <v>0.158</v>
      </c>
      <c r="H160" s="2">
        <v>18</v>
      </c>
      <c r="I160" s="2">
        <v>74.2</v>
      </c>
      <c r="J160" s="2">
        <v>0.2</v>
      </c>
      <c r="K160" s="2">
        <v>0</v>
      </c>
      <c r="L160" s="2">
        <v>3.4</v>
      </c>
      <c r="M160" s="5">
        <f t="shared" si="0"/>
        <v>1</v>
      </c>
      <c r="N160" s="5">
        <f t="shared" si="1"/>
        <v>0</v>
      </c>
      <c r="O160" s="5">
        <f t="shared" si="2"/>
        <v>0</v>
      </c>
      <c r="P160" s="5">
        <f t="shared" si="3"/>
        <v>1</v>
      </c>
      <c r="Q160" s="5">
        <f t="shared" si="4"/>
        <v>0</v>
      </c>
      <c r="R160" s="5">
        <f t="shared" si="5"/>
        <v>0</v>
      </c>
      <c r="S160" s="2">
        <v>100627.56</v>
      </c>
      <c r="T160" s="2">
        <v>724216.07</v>
      </c>
      <c r="U160" s="12">
        <f t="shared" si="10"/>
        <v>670731.24479057477</v>
      </c>
      <c r="V160">
        <f t="shared" si="11"/>
        <v>53484.82520942518</v>
      </c>
    </row>
    <row r="161" spans="1:22" ht="14.25">
      <c r="A161" s="2" t="s">
        <v>61</v>
      </c>
      <c r="B161" s="3">
        <v>45748</v>
      </c>
      <c r="C161" s="2" t="s">
        <v>20</v>
      </c>
      <c r="D161" s="2" t="s">
        <v>28</v>
      </c>
      <c r="E161" s="2">
        <v>23254.57</v>
      </c>
      <c r="F161" s="2">
        <v>3847</v>
      </c>
      <c r="G161" s="2">
        <v>0.159</v>
      </c>
      <c r="H161" s="2">
        <v>12</v>
      </c>
      <c r="I161" s="2">
        <v>93</v>
      </c>
      <c r="J161" s="2">
        <v>5.46</v>
      </c>
      <c r="K161" s="2">
        <v>0</v>
      </c>
      <c r="L161" s="2">
        <v>3.3</v>
      </c>
      <c r="M161" s="5">
        <f t="shared" si="0"/>
        <v>1</v>
      </c>
      <c r="N161" s="5">
        <f t="shared" si="1"/>
        <v>0</v>
      </c>
      <c r="O161" s="5">
        <f t="shared" si="2"/>
        <v>0</v>
      </c>
      <c r="P161" s="5">
        <f t="shared" si="3"/>
        <v>1</v>
      </c>
      <c r="Q161" s="5">
        <f t="shared" si="4"/>
        <v>0</v>
      </c>
      <c r="R161" s="5">
        <f t="shared" si="5"/>
        <v>0</v>
      </c>
      <c r="S161" s="2">
        <v>72303.850000000006</v>
      </c>
      <c r="T161" s="2">
        <v>620973.03</v>
      </c>
      <c r="U161" s="12">
        <f t="shared" si="10"/>
        <v>560542.16442917846</v>
      </c>
      <c r="V161">
        <f t="shared" si="11"/>
        <v>60430.865570821567</v>
      </c>
    </row>
    <row r="162" spans="1:22" ht="14.25">
      <c r="A162" s="2" t="s">
        <v>62</v>
      </c>
      <c r="B162" s="3">
        <v>45658</v>
      </c>
      <c r="C162" s="2" t="s">
        <v>24</v>
      </c>
      <c r="D162" s="2" t="s">
        <v>18</v>
      </c>
      <c r="E162" s="2">
        <v>41443.410000000003</v>
      </c>
      <c r="F162" s="2">
        <v>7455</v>
      </c>
      <c r="G162" s="2">
        <v>0.17499999999999999</v>
      </c>
      <c r="H162" s="2">
        <v>16</v>
      </c>
      <c r="I162" s="2">
        <v>90.1</v>
      </c>
      <c r="J162" s="2">
        <v>4.05</v>
      </c>
      <c r="K162" s="2">
        <v>0</v>
      </c>
      <c r="L162" s="2">
        <v>4</v>
      </c>
      <c r="M162" s="5">
        <f t="shared" si="0"/>
        <v>0</v>
      </c>
      <c r="N162" s="5">
        <f t="shared" si="1"/>
        <v>1</v>
      </c>
      <c r="O162" s="5">
        <f t="shared" si="2"/>
        <v>0</v>
      </c>
      <c r="P162" s="5">
        <f t="shared" si="3"/>
        <v>0</v>
      </c>
      <c r="Q162" s="5">
        <f t="shared" si="4"/>
        <v>1</v>
      </c>
      <c r="R162" s="5">
        <f t="shared" si="5"/>
        <v>0</v>
      </c>
      <c r="S162" s="2">
        <v>109012.07</v>
      </c>
      <c r="T162" s="2">
        <v>650480.06000000006</v>
      </c>
      <c r="U162" s="12">
        <f t="shared" si="10"/>
        <v>697803.26025658776</v>
      </c>
      <c r="V162">
        <f t="shared" si="11"/>
        <v>-47323.200256587705</v>
      </c>
    </row>
    <row r="163" spans="1:22" ht="14.25">
      <c r="A163" s="2" t="s">
        <v>62</v>
      </c>
      <c r="B163" s="3">
        <v>45689</v>
      </c>
      <c r="C163" s="2" t="s">
        <v>24</v>
      </c>
      <c r="D163" s="2" t="s">
        <v>18</v>
      </c>
      <c r="E163" s="2">
        <v>48438.85</v>
      </c>
      <c r="F163" s="2">
        <v>6992</v>
      </c>
      <c r="G163" s="2">
        <v>3.4000000000000002E-2</v>
      </c>
      <c r="H163" s="2">
        <v>20</v>
      </c>
      <c r="I163" s="2">
        <v>91</v>
      </c>
      <c r="J163" s="2">
        <v>4.3600000000000003</v>
      </c>
      <c r="K163" s="2">
        <v>0</v>
      </c>
      <c r="L163" s="2">
        <v>4.2</v>
      </c>
      <c r="M163" s="5">
        <f t="shared" si="0"/>
        <v>0</v>
      </c>
      <c r="N163" s="5">
        <f t="shared" si="1"/>
        <v>1</v>
      </c>
      <c r="O163" s="5">
        <f t="shared" si="2"/>
        <v>0</v>
      </c>
      <c r="P163" s="5">
        <f t="shared" si="3"/>
        <v>0</v>
      </c>
      <c r="Q163" s="5">
        <f t="shared" si="4"/>
        <v>1</v>
      </c>
      <c r="R163" s="5">
        <f t="shared" si="5"/>
        <v>0</v>
      </c>
      <c r="S163" s="2">
        <v>130076.72</v>
      </c>
      <c r="T163" s="2">
        <v>778298.88</v>
      </c>
      <c r="U163" s="12">
        <f t="shared" si="10"/>
        <v>717651.53292933409</v>
      </c>
      <c r="V163">
        <f t="shared" si="11"/>
        <v>60647.347070665914</v>
      </c>
    </row>
    <row r="164" spans="1:22" ht="14.25">
      <c r="A164" s="2" t="s">
        <v>62</v>
      </c>
      <c r="B164" s="3">
        <v>45717</v>
      </c>
      <c r="C164" s="2" t="s">
        <v>24</v>
      </c>
      <c r="D164" s="2" t="s">
        <v>18</v>
      </c>
      <c r="E164" s="2">
        <v>57143.3</v>
      </c>
      <c r="F164" s="2">
        <v>8038</v>
      </c>
      <c r="G164" s="2">
        <v>0.193</v>
      </c>
      <c r="H164" s="2">
        <v>17</v>
      </c>
      <c r="I164" s="2">
        <v>72.599999999999994</v>
      </c>
      <c r="J164" s="2">
        <v>3.3650000000000002</v>
      </c>
      <c r="K164" s="2">
        <v>0</v>
      </c>
      <c r="L164" s="2">
        <v>4.2</v>
      </c>
      <c r="M164" s="5">
        <f t="shared" si="0"/>
        <v>0</v>
      </c>
      <c r="N164" s="5">
        <f t="shared" si="1"/>
        <v>1</v>
      </c>
      <c r="O164" s="5">
        <f t="shared" si="2"/>
        <v>0</v>
      </c>
      <c r="P164" s="5">
        <f t="shared" si="3"/>
        <v>0</v>
      </c>
      <c r="Q164" s="5">
        <f t="shared" si="4"/>
        <v>1</v>
      </c>
      <c r="R164" s="5">
        <f t="shared" si="5"/>
        <v>0</v>
      </c>
      <c r="S164" s="2">
        <v>97174.11</v>
      </c>
      <c r="T164" s="2">
        <v>677096.71</v>
      </c>
      <c r="U164" s="12">
        <f t="shared" si="10"/>
        <v>686770.34472832363</v>
      </c>
      <c r="V164">
        <f t="shared" si="11"/>
        <v>-9673.6347283236682</v>
      </c>
    </row>
    <row r="165" spans="1:22" ht="14.25">
      <c r="A165" s="2" t="s">
        <v>62</v>
      </c>
      <c r="B165" s="3">
        <v>45748</v>
      </c>
      <c r="C165" s="2" t="s">
        <v>24</v>
      </c>
      <c r="D165" s="2" t="s">
        <v>18</v>
      </c>
      <c r="E165" s="2">
        <v>66870.62</v>
      </c>
      <c r="F165" s="2">
        <v>6055</v>
      </c>
      <c r="G165" s="2">
        <v>7.4999999999999997E-2</v>
      </c>
      <c r="H165" s="2">
        <v>19</v>
      </c>
      <c r="I165" s="2">
        <v>93.8</v>
      </c>
      <c r="J165" s="2">
        <v>0.54</v>
      </c>
      <c r="K165" s="2">
        <v>0</v>
      </c>
      <c r="L165" s="2">
        <v>4.3</v>
      </c>
      <c r="M165" s="5">
        <f t="shared" si="0"/>
        <v>0</v>
      </c>
      <c r="N165" s="5">
        <f t="shared" si="1"/>
        <v>1</v>
      </c>
      <c r="O165" s="5">
        <f t="shared" si="2"/>
        <v>0</v>
      </c>
      <c r="P165" s="5">
        <f t="shared" si="3"/>
        <v>0</v>
      </c>
      <c r="Q165" s="5">
        <f t="shared" si="4"/>
        <v>1</v>
      </c>
      <c r="R165" s="5">
        <f t="shared" si="5"/>
        <v>0</v>
      </c>
      <c r="S165" s="2">
        <v>116337.87</v>
      </c>
      <c r="T165" s="2">
        <v>692008.64</v>
      </c>
      <c r="U165" s="12">
        <f t="shared" si="10"/>
        <v>732097.98094695515</v>
      </c>
      <c r="V165">
        <f t="shared" si="11"/>
        <v>-40089.340946955141</v>
      </c>
    </row>
    <row r="166" spans="1:22" ht="14.25">
      <c r="A166" s="2" t="s">
        <v>63</v>
      </c>
      <c r="B166" s="3">
        <v>45658</v>
      </c>
      <c r="C166" s="2" t="s">
        <v>20</v>
      </c>
      <c r="D166" s="2" t="s">
        <v>28</v>
      </c>
      <c r="E166" s="2">
        <v>72150.53</v>
      </c>
      <c r="F166" s="2">
        <v>9323</v>
      </c>
      <c r="G166" s="2">
        <v>0.157</v>
      </c>
      <c r="H166" s="2">
        <v>22</v>
      </c>
      <c r="I166" s="2">
        <v>82.9</v>
      </c>
      <c r="J166" s="2">
        <v>11.37</v>
      </c>
      <c r="K166" s="2">
        <v>1</v>
      </c>
      <c r="L166" s="2">
        <v>4.3</v>
      </c>
      <c r="M166" s="5">
        <f t="shared" si="0"/>
        <v>1</v>
      </c>
      <c r="N166" s="5">
        <f t="shared" si="1"/>
        <v>0</v>
      </c>
      <c r="O166" s="5">
        <f t="shared" si="2"/>
        <v>0</v>
      </c>
      <c r="P166" s="5">
        <f t="shared" si="3"/>
        <v>1</v>
      </c>
      <c r="Q166" s="5">
        <f t="shared" si="4"/>
        <v>0</v>
      </c>
      <c r="R166" s="5">
        <f t="shared" si="5"/>
        <v>0</v>
      </c>
      <c r="S166" s="2">
        <v>130945.24</v>
      </c>
      <c r="T166" s="2">
        <v>825797.91</v>
      </c>
      <c r="U166" s="12">
        <f t="shared" si="10"/>
        <v>780981.46729215083</v>
      </c>
      <c r="V166">
        <f t="shared" si="11"/>
        <v>44816.442707849201</v>
      </c>
    </row>
    <row r="167" spans="1:22" ht="14.25">
      <c r="A167" s="2" t="s">
        <v>63</v>
      </c>
      <c r="B167" s="3">
        <v>45689</v>
      </c>
      <c r="C167" s="2" t="s">
        <v>20</v>
      </c>
      <c r="D167" s="2" t="s">
        <v>28</v>
      </c>
      <c r="E167" s="2">
        <v>35303.300000000003</v>
      </c>
      <c r="F167" s="2">
        <v>8789</v>
      </c>
      <c r="G167" s="2">
        <v>0.123</v>
      </c>
      <c r="H167" s="2">
        <v>22</v>
      </c>
      <c r="I167" s="2">
        <v>86.1</v>
      </c>
      <c r="J167" s="2">
        <v>9.43</v>
      </c>
      <c r="K167" s="2">
        <v>0</v>
      </c>
      <c r="L167" s="2">
        <v>4.2</v>
      </c>
      <c r="M167" s="5">
        <f t="shared" si="0"/>
        <v>1</v>
      </c>
      <c r="N167" s="5">
        <f t="shared" si="1"/>
        <v>0</v>
      </c>
      <c r="O167" s="5">
        <f t="shared" si="2"/>
        <v>0</v>
      </c>
      <c r="P167" s="5">
        <f t="shared" si="3"/>
        <v>1</v>
      </c>
      <c r="Q167" s="5">
        <f t="shared" si="4"/>
        <v>0</v>
      </c>
      <c r="R167" s="5">
        <f t="shared" si="5"/>
        <v>0</v>
      </c>
      <c r="S167" s="2">
        <v>138014.72</v>
      </c>
      <c r="T167" s="2">
        <v>706285.52</v>
      </c>
      <c r="U167" s="12">
        <f t="shared" si="10"/>
        <v>723264.46173981356</v>
      </c>
      <c r="V167">
        <f t="shared" si="11"/>
        <v>-16978.941739813541</v>
      </c>
    </row>
    <row r="168" spans="1:22" ht="14.25">
      <c r="A168" s="2" t="s">
        <v>63</v>
      </c>
      <c r="B168" s="3">
        <v>45717</v>
      </c>
      <c r="C168" s="2" t="s">
        <v>20</v>
      </c>
      <c r="D168" s="2" t="s">
        <v>28</v>
      </c>
      <c r="E168" s="2">
        <v>30301.86</v>
      </c>
      <c r="F168" s="2">
        <v>6939</v>
      </c>
      <c r="G168" s="2">
        <v>0.09</v>
      </c>
      <c r="H168" s="2">
        <v>16</v>
      </c>
      <c r="I168" s="2">
        <v>90.3</v>
      </c>
      <c r="J168" s="2">
        <v>3.49</v>
      </c>
      <c r="K168" s="2">
        <v>0</v>
      </c>
      <c r="L168" s="2">
        <v>4</v>
      </c>
      <c r="M168" s="5">
        <f t="shared" si="0"/>
        <v>1</v>
      </c>
      <c r="N168" s="5">
        <f t="shared" si="1"/>
        <v>0</v>
      </c>
      <c r="O168" s="5">
        <f t="shared" si="2"/>
        <v>0</v>
      </c>
      <c r="P168" s="5">
        <f t="shared" si="3"/>
        <v>1</v>
      </c>
      <c r="Q168" s="5">
        <f t="shared" si="4"/>
        <v>0</v>
      </c>
      <c r="R168" s="5">
        <f t="shared" si="5"/>
        <v>0</v>
      </c>
      <c r="S168" s="2">
        <v>113167.73</v>
      </c>
      <c r="T168" s="2">
        <v>665534.69999999995</v>
      </c>
      <c r="U168" s="12">
        <f t="shared" si="10"/>
        <v>677733.49742377526</v>
      </c>
      <c r="V168">
        <f t="shared" si="11"/>
        <v>-12198.797423775308</v>
      </c>
    </row>
    <row r="169" spans="1:22" ht="14.25">
      <c r="A169" s="2" t="s">
        <v>63</v>
      </c>
      <c r="B169" s="3">
        <v>45748</v>
      </c>
      <c r="C169" s="2" t="s">
        <v>20</v>
      </c>
      <c r="D169" s="2" t="s">
        <v>28</v>
      </c>
      <c r="E169" s="2">
        <v>78432.14</v>
      </c>
      <c r="F169" s="2">
        <v>9440</v>
      </c>
      <c r="G169" s="2">
        <v>0.126</v>
      </c>
      <c r="H169" s="2">
        <v>23</v>
      </c>
      <c r="I169" s="2">
        <v>89.2</v>
      </c>
      <c r="J169" s="2">
        <v>7.86</v>
      </c>
      <c r="K169" s="2">
        <v>0</v>
      </c>
      <c r="L169" s="2">
        <v>4.0999999999999996</v>
      </c>
      <c r="M169" s="5">
        <f t="shared" si="0"/>
        <v>1</v>
      </c>
      <c r="N169" s="5">
        <f t="shared" si="1"/>
        <v>0</v>
      </c>
      <c r="O169" s="5">
        <f t="shared" si="2"/>
        <v>0</v>
      </c>
      <c r="P169" s="5">
        <f t="shared" si="3"/>
        <v>1</v>
      </c>
      <c r="Q169" s="5">
        <f t="shared" si="4"/>
        <v>0</v>
      </c>
      <c r="R169" s="5">
        <f t="shared" si="5"/>
        <v>0</v>
      </c>
      <c r="S169" s="2">
        <v>159325.47</v>
      </c>
      <c r="T169" s="2">
        <v>820729.29</v>
      </c>
      <c r="U169" s="12">
        <f t="shared" si="10"/>
        <v>810267.54180135299</v>
      </c>
      <c r="V169">
        <f t="shared" si="11"/>
        <v>10461.748198647052</v>
      </c>
    </row>
    <row r="170" spans="1:22" ht="14.25">
      <c r="A170" s="2" t="s">
        <v>64</v>
      </c>
      <c r="B170" s="3">
        <v>45658</v>
      </c>
      <c r="C170" s="2" t="s">
        <v>15</v>
      </c>
      <c r="D170" s="2" t="s">
        <v>16</v>
      </c>
      <c r="E170" s="2">
        <v>62059.18</v>
      </c>
      <c r="F170" s="2">
        <v>9374</v>
      </c>
      <c r="G170" s="2">
        <v>0.13600000000000001</v>
      </c>
      <c r="H170" s="2">
        <v>25</v>
      </c>
      <c r="I170" s="2">
        <v>87.1</v>
      </c>
      <c r="J170" s="2">
        <v>12.55</v>
      </c>
      <c r="K170" s="2">
        <v>0</v>
      </c>
      <c r="L170" s="2">
        <v>4.9000000000000004</v>
      </c>
      <c r="M170" s="5">
        <f t="shared" si="0"/>
        <v>0</v>
      </c>
      <c r="N170" s="5">
        <f t="shared" si="1"/>
        <v>0</v>
      </c>
      <c r="O170" s="5">
        <f t="shared" si="2"/>
        <v>1</v>
      </c>
      <c r="P170" s="5">
        <f t="shared" si="3"/>
        <v>0</v>
      </c>
      <c r="Q170" s="5">
        <f t="shared" si="4"/>
        <v>0</v>
      </c>
      <c r="R170" s="5">
        <f t="shared" si="5"/>
        <v>0</v>
      </c>
      <c r="S170" s="2">
        <v>119490.21</v>
      </c>
      <c r="T170" s="2">
        <v>739831.73</v>
      </c>
      <c r="U170" s="12">
        <f t="shared" si="10"/>
        <v>739928.24321805651</v>
      </c>
      <c r="V170">
        <f t="shared" si="11"/>
        <v>-96.513218056526966</v>
      </c>
    </row>
    <row r="171" spans="1:22" ht="14.25">
      <c r="A171" s="2" t="s">
        <v>64</v>
      </c>
      <c r="B171" s="3">
        <v>45689</v>
      </c>
      <c r="C171" s="2" t="s">
        <v>15</v>
      </c>
      <c r="D171" s="2" t="s">
        <v>16</v>
      </c>
      <c r="E171" s="2">
        <v>32834.480000000003</v>
      </c>
      <c r="F171" s="2">
        <v>7576</v>
      </c>
      <c r="G171" s="2">
        <v>9.9000000000000005E-2</v>
      </c>
      <c r="H171" s="2">
        <v>15</v>
      </c>
      <c r="I171" s="2">
        <v>84.1</v>
      </c>
      <c r="J171" s="2">
        <v>3.48</v>
      </c>
      <c r="K171" s="2">
        <v>0</v>
      </c>
      <c r="L171" s="2">
        <v>5</v>
      </c>
      <c r="M171" s="5">
        <f t="shared" si="0"/>
        <v>0</v>
      </c>
      <c r="N171" s="5">
        <f t="shared" si="1"/>
        <v>0</v>
      </c>
      <c r="O171" s="5">
        <f t="shared" si="2"/>
        <v>1</v>
      </c>
      <c r="P171" s="5">
        <f t="shared" si="3"/>
        <v>0</v>
      </c>
      <c r="Q171" s="5">
        <f t="shared" si="4"/>
        <v>0</v>
      </c>
      <c r="R171" s="5">
        <f t="shared" si="5"/>
        <v>0</v>
      </c>
      <c r="S171" s="2">
        <v>106648.14</v>
      </c>
      <c r="T171" s="2">
        <v>593637.14</v>
      </c>
      <c r="U171" s="12">
        <f t="shared" si="10"/>
        <v>645107.92662495398</v>
      </c>
      <c r="V171">
        <f t="shared" si="11"/>
        <v>-51470.786624953966</v>
      </c>
    </row>
    <row r="172" spans="1:22" ht="14.25">
      <c r="A172" s="2" t="s">
        <v>64</v>
      </c>
      <c r="B172" s="3">
        <v>45717</v>
      </c>
      <c r="C172" s="2" t="s">
        <v>15</v>
      </c>
      <c r="D172" s="2" t="s">
        <v>16</v>
      </c>
      <c r="E172" s="2">
        <v>50825.08</v>
      </c>
      <c r="F172" s="2">
        <v>8949</v>
      </c>
      <c r="G172" s="2">
        <v>0.157</v>
      </c>
      <c r="H172" s="2">
        <v>21</v>
      </c>
      <c r="I172" s="2">
        <v>84.7</v>
      </c>
      <c r="J172" s="2">
        <v>7.73</v>
      </c>
      <c r="K172" s="2">
        <v>0</v>
      </c>
      <c r="L172" s="2">
        <v>4.9000000000000004</v>
      </c>
      <c r="M172" s="5">
        <f t="shared" si="0"/>
        <v>0</v>
      </c>
      <c r="N172" s="5">
        <f t="shared" si="1"/>
        <v>0</v>
      </c>
      <c r="O172" s="5">
        <f t="shared" si="2"/>
        <v>1</v>
      </c>
      <c r="P172" s="5">
        <f t="shared" si="3"/>
        <v>0</v>
      </c>
      <c r="Q172" s="5">
        <f t="shared" si="4"/>
        <v>0</v>
      </c>
      <c r="R172" s="5">
        <f t="shared" si="5"/>
        <v>0</v>
      </c>
      <c r="S172" s="2">
        <v>158697</v>
      </c>
      <c r="T172" s="2">
        <v>769702.76</v>
      </c>
      <c r="U172" s="12">
        <f t="shared" si="10"/>
        <v>709040.57540994941</v>
      </c>
      <c r="V172">
        <f t="shared" si="11"/>
        <v>60662.184590050601</v>
      </c>
    </row>
    <row r="173" spans="1:22" ht="14.25">
      <c r="A173" s="2" t="s">
        <v>64</v>
      </c>
      <c r="B173" s="3">
        <v>45748</v>
      </c>
      <c r="C173" s="2" t="s">
        <v>15</v>
      </c>
      <c r="D173" s="2" t="s">
        <v>16</v>
      </c>
      <c r="E173" s="2">
        <v>36606.51</v>
      </c>
      <c r="F173" s="2">
        <v>7671</v>
      </c>
      <c r="G173" s="2">
        <v>0.11799999999999999</v>
      </c>
      <c r="H173" s="2">
        <v>18</v>
      </c>
      <c r="I173" s="2">
        <v>89.8</v>
      </c>
      <c r="J173" s="2">
        <v>0.25</v>
      </c>
      <c r="K173" s="2">
        <v>0</v>
      </c>
      <c r="L173" s="2">
        <v>4.4000000000000004</v>
      </c>
      <c r="M173" s="5">
        <f t="shared" si="0"/>
        <v>0</v>
      </c>
      <c r="N173" s="5">
        <f t="shared" si="1"/>
        <v>0</v>
      </c>
      <c r="O173" s="5">
        <f t="shared" si="2"/>
        <v>1</v>
      </c>
      <c r="P173" s="5">
        <f t="shared" si="3"/>
        <v>0</v>
      </c>
      <c r="Q173" s="5">
        <f t="shared" si="4"/>
        <v>0</v>
      </c>
      <c r="R173" s="5">
        <f t="shared" si="5"/>
        <v>0</v>
      </c>
      <c r="S173" s="2">
        <v>121546.42</v>
      </c>
      <c r="T173" s="2">
        <v>679731.57</v>
      </c>
      <c r="U173" s="12">
        <f t="shared" si="10"/>
        <v>683064.33975726296</v>
      </c>
      <c r="V173">
        <f t="shared" si="11"/>
        <v>-3332.7697572630132</v>
      </c>
    </row>
    <row r="174" spans="1:22" ht="14.25">
      <c r="A174" s="2" t="s">
        <v>65</v>
      </c>
      <c r="B174" s="3">
        <v>45658</v>
      </c>
      <c r="C174" s="2" t="s">
        <v>15</v>
      </c>
      <c r="D174" s="2" t="s">
        <v>16</v>
      </c>
      <c r="E174" s="2">
        <v>65237.79</v>
      </c>
      <c r="F174" s="2">
        <v>8741</v>
      </c>
      <c r="G174" s="2">
        <v>0.157</v>
      </c>
      <c r="H174" s="2">
        <v>20</v>
      </c>
      <c r="I174" s="2">
        <v>94.4</v>
      </c>
      <c r="J174" s="2">
        <v>6.43</v>
      </c>
      <c r="K174" s="2">
        <v>0</v>
      </c>
      <c r="L174" s="2">
        <v>3.3</v>
      </c>
      <c r="M174" s="5">
        <f t="shared" si="0"/>
        <v>0</v>
      </c>
      <c r="N174" s="5">
        <f t="shared" si="1"/>
        <v>0</v>
      </c>
      <c r="O174" s="5">
        <f t="shared" si="2"/>
        <v>1</v>
      </c>
      <c r="P174" s="5">
        <f t="shared" si="3"/>
        <v>0</v>
      </c>
      <c r="Q174" s="5">
        <f t="shared" si="4"/>
        <v>0</v>
      </c>
      <c r="R174" s="5">
        <f t="shared" si="5"/>
        <v>0</v>
      </c>
      <c r="S174" s="2">
        <v>118239.09</v>
      </c>
      <c r="T174" s="2">
        <v>780344.18</v>
      </c>
      <c r="U174" s="12">
        <f t="shared" si="10"/>
        <v>731442.43816152262</v>
      </c>
      <c r="V174">
        <f t="shared" si="11"/>
        <v>48901.741838477436</v>
      </c>
    </row>
    <row r="175" spans="1:22" ht="14.25">
      <c r="A175" s="2" t="s">
        <v>65</v>
      </c>
      <c r="B175" s="3">
        <v>45689</v>
      </c>
      <c r="C175" s="2" t="s">
        <v>15</v>
      </c>
      <c r="D175" s="2" t="s">
        <v>16</v>
      </c>
      <c r="E175" s="2">
        <v>43645.98</v>
      </c>
      <c r="F175" s="2">
        <v>9480</v>
      </c>
      <c r="G175" s="2">
        <v>0.109</v>
      </c>
      <c r="H175" s="2">
        <v>22</v>
      </c>
      <c r="I175" s="2">
        <v>89</v>
      </c>
      <c r="J175" s="2">
        <v>2.11</v>
      </c>
      <c r="K175" s="2">
        <v>0</v>
      </c>
      <c r="L175" s="2">
        <v>3.1</v>
      </c>
      <c r="M175" s="5">
        <f t="shared" si="0"/>
        <v>0</v>
      </c>
      <c r="N175" s="5">
        <f t="shared" si="1"/>
        <v>0</v>
      </c>
      <c r="O175" s="5">
        <f t="shared" si="2"/>
        <v>1</v>
      </c>
      <c r="P175" s="5">
        <f t="shared" si="3"/>
        <v>0</v>
      </c>
      <c r="Q175" s="5">
        <f t="shared" si="4"/>
        <v>0</v>
      </c>
      <c r="R175" s="5">
        <f t="shared" si="5"/>
        <v>0</v>
      </c>
      <c r="S175" s="2">
        <v>147272.81</v>
      </c>
      <c r="T175" s="2">
        <v>721364.11</v>
      </c>
      <c r="U175" s="12">
        <f t="shared" si="10"/>
        <v>730330.60785529204</v>
      </c>
      <c r="V175">
        <f t="shared" si="11"/>
        <v>-8966.4978552920511</v>
      </c>
    </row>
    <row r="176" spans="1:22" ht="14.25">
      <c r="A176" s="2" t="s">
        <v>65</v>
      </c>
      <c r="B176" s="3">
        <v>45717</v>
      </c>
      <c r="C176" s="2" t="s">
        <v>15</v>
      </c>
      <c r="D176" s="2" t="s">
        <v>16</v>
      </c>
      <c r="E176" s="2">
        <v>68040.149999999994</v>
      </c>
      <c r="F176" s="2">
        <v>9826</v>
      </c>
      <c r="G176" s="2">
        <v>0.125</v>
      </c>
      <c r="H176" s="2">
        <v>20</v>
      </c>
      <c r="I176" s="2">
        <v>83.9</v>
      </c>
      <c r="J176" s="2">
        <v>9.1199999999999992</v>
      </c>
      <c r="K176" s="2">
        <v>0</v>
      </c>
      <c r="L176" s="2">
        <v>3.6</v>
      </c>
      <c r="M176" s="5">
        <f t="shared" si="0"/>
        <v>0</v>
      </c>
      <c r="N176" s="5">
        <f t="shared" si="1"/>
        <v>0</v>
      </c>
      <c r="O176" s="5">
        <f t="shared" si="2"/>
        <v>1</v>
      </c>
      <c r="P176" s="5">
        <f t="shared" si="3"/>
        <v>0</v>
      </c>
      <c r="Q176" s="5">
        <f t="shared" si="4"/>
        <v>0</v>
      </c>
      <c r="R176" s="5">
        <f t="shared" si="5"/>
        <v>0</v>
      </c>
      <c r="S176" s="2">
        <v>132975.26</v>
      </c>
      <c r="T176" s="2">
        <v>758138.29</v>
      </c>
      <c r="U176" s="12">
        <f t="shared" si="10"/>
        <v>728163.76562472386</v>
      </c>
      <c r="V176">
        <f t="shared" si="11"/>
        <v>29974.524375276174</v>
      </c>
    </row>
    <row r="177" spans="1:22" ht="14.25">
      <c r="A177" s="2" t="s">
        <v>65</v>
      </c>
      <c r="B177" s="3">
        <v>45748</v>
      </c>
      <c r="C177" s="2" t="s">
        <v>15</v>
      </c>
      <c r="D177" s="2" t="s">
        <v>16</v>
      </c>
      <c r="E177" s="2">
        <v>63043.94</v>
      </c>
      <c r="F177" s="2">
        <v>10402</v>
      </c>
      <c r="G177" s="2">
        <v>0.159</v>
      </c>
      <c r="H177" s="2">
        <v>23</v>
      </c>
      <c r="I177" s="2">
        <v>93.9</v>
      </c>
      <c r="J177" s="2">
        <v>2.71</v>
      </c>
      <c r="K177" s="2">
        <v>0</v>
      </c>
      <c r="L177" s="2">
        <v>3.1</v>
      </c>
      <c r="M177" s="5">
        <f t="shared" si="0"/>
        <v>0</v>
      </c>
      <c r="N177" s="5">
        <f t="shared" si="1"/>
        <v>0</v>
      </c>
      <c r="O177" s="5">
        <f t="shared" si="2"/>
        <v>1</v>
      </c>
      <c r="P177" s="5">
        <f t="shared" si="3"/>
        <v>0</v>
      </c>
      <c r="Q177" s="5">
        <f t="shared" si="4"/>
        <v>0</v>
      </c>
      <c r="R177" s="5">
        <f t="shared" si="5"/>
        <v>0</v>
      </c>
      <c r="S177" s="2">
        <v>167117.91</v>
      </c>
      <c r="T177" s="2">
        <v>804264</v>
      </c>
      <c r="U177" s="12">
        <f t="shared" si="10"/>
        <v>793392.93134690833</v>
      </c>
      <c r="V177">
        <f t="shared" si="11"/>
        <v>10871.068653091672</v>
      </c>
    </row>
    <row r="178" spans="1:22" ht="14.25">
      <c r="A178" s="2" t="s">
        <v>66</v>
      </c>
      <c r="B178" s="3">
        <v>45658</v>
      </c>
      <c r="C178" s="2" t="s">
        <v>27</v>
      </c>
      <c r="D178" s="2" t="s">
        <v>21</v>
      </c>
      <c r="E178" s="2">
        <v>67494.09</v>
      </c>
      <c r="F178" s="2">
        <v>12361</v>
      </c>
      <c r="G178" s="2">
        <v>4.5999999999999999E-2</v>
      </c>
      <c r="H178" s="2">
        <v>24</v>
      </c>
      <c r="I178" s="2">
        <v>76.599999999999994</v>
      </c>
      <c r="J178" s="2">
        <v>3.65</v>
      </c>
      <c r="K178" s="2">
        <v>1</v>
      </c>
      <c r="L178" s="2">
        <v>3.7</v>
      </c>
      <c r="M178" s="5">
        <f t="shared" si="0"/>
        <v>0</v>
      </c>
      <c r="N178" s="5">
        <f t="shared" si="1"/>
        <v>0</v>
      </c>
      <c r="O178" s="5">
        <f t="shared" si="2"/>
        <v>0</v>
      </c>
      <c r="P178" s="5">
        <f t="shared" si="3"/>
        <v>0</v>
      </c>
      <c r="Q178" s="5">
        <f t="shared" si="4"/>
        <v>0</v>
      </c>
      <c r="R178" s="5">
        <f t="shared" si="5"/>
        <v>1</v>
      </c>
      <c r="S178" s="2">
        <v>160362.92000000001</v>
      </c>
      <c r="T178" s="2">
        <v>887537.75</v>
      </c>
      <c r="U178" s="12">
        <f t="shared" si="10"/>
        <v>896939.19375155226</v>
      </c>
      <c r="V178">
        <f t="shared" si="11"/>
        <v>-9401.4437515522586</v>
      </c>
    </row>
    <row r="179" spans="1:22" ht="14.25">
      <c r="A179" s="2" t="s">
        <v>66</v>
      </c>
      <c r="B179" s="3">
        <v>45689</v>
      </c>
      <c r="C179" s="2" t="s">
        <v>27</v>
      </c>
      <c r="D179" s="2" t="s">
        <v>21</v>
      </c>
      <c r="E179" s="2">
        <v>29389.32</v>
      </c>
      <c r="F179" s="2">
        <v>7925</v>
      </c>
      <c r="G179" s="2">
        <v>0.17699999999999999</v>
      </c>
      <c r="H179" s="2">
        <v>21</v>
      </c>
      <c r="I179" s="2">
        <v>90.9</v>
      </c>
      <c r="J179" s="2">
        <v>7.86</v>
      </c>
      <c r="K179" s="2">
        <v>0</v>
      </c>
      <c r="L179" s="2">
        <v>4</v>
      </c>
      <c r="M179" s="5">
        <f t="shared" si="0"/>
        <v>0</v>
      </c>
      <c r="N179" s="5">
        <f t="shared" si="1"/>
        <v>0</v>
      </c>
      <c r="O179" s="5">
        <f t="shared" si="2"/>
        <v>0</v>
      </c>
      <c r="P179" s="5">
        <f t="shared" si="3"/>
        <v>0</v>
      </c>
      <c r="Q179" s="5">
        <f t="shared" si="4"/>
        <v>0</v>
      </c>
      <c r="R179" s="5">
        <f t="shared" si="5"/>
        <v>1</v>
      </c>
      <c r="S179" s="2">
        <v>130670.93</v>
      </c>
      <c r="T179" s="2">
        <v>783582</v>
      </c>
      <c r="U179" s="12">
        <f t="shared" si="10"/>
        <v>731554.46054189559</v>
      </c>
      <c r="V179">
        <f t="shared" si="11"/>
        <v>52027.539458104409</v>
      </c>
    </row>
    <row r="180" spans="1:22" ht="14.25">
      <c r="A180" s="2" t="s">
        <v>66</v>
      </c>
      <c r="B180" s="3">
        <v>45717</v>
      </c>
      <c r="C180" s="2" t="s">
        <v>27</v>
      </c>
      <c r="D180" s="2" t="s">
        <v>21</v>
      </c>
      <c r="E180" s="2">
        <v>40535.089999999997</v>
      </c>
      <c r="F180" s="2">
        <v>8870</v>
      </c>
      <c r="G180" s="2">
        <v>4.1000000000000002E-2</v>
      </c>
      <c r="H180" s="2">
        <v>21</v>
      </c>
      <c r="I180" s="2">
        <v>86.6</v>
      </c>
      <c r="J180" s="2">
        <v>0.3</v>
      </c>
      <c r="K180" s="2">
        <v>0</v>
      </c>
      <c r="L180" s="2">
        <v>4.0999999999999996</v>
      </c>
      <c r="M180" s="5">
        <f t="shared" si="0"/>
        <v>0</v>
      </c>
      <c r="N180" s="5">
        <f t="shared" si="1"/>
        <v>0</v>
      </c>
      <c r="O180" s="5">
        <f t="shared" si="2"/>
        <v>0</v>
      </c>
      <c r="P180" s="5">
        <f t="shared" si="3"/>
        <v>0</v>
      </c>
      <c r="Q180" s="5">
        <f t="shared" si="4"/>
        <v>0</v>
      </c>
      <c r="R180" s="5">
        <f t="shared" si="5"/>
        <v>1</v>
      </c>
      <c r="S180" s="2">
        <v>152578.71</v>
      </c>
      <c r="T180" s="2">
        <v>781955.52</v>
      </c>
      <c r="U180" s="12">
        <f t="shared" si="10"/>
        <v>790557.35527675436</v>
      </c>
      <c r="V180">
        <f t="shared" si="11"/>
        <v>-8601.8352767543402</v>
      </c>
    </row>
    <row r="181" spans="1:22" ht="14.25">
      <c r="A181" s="2" t="s">
        <v>66</v>
      </c>
      <c r="B181" s="3">
        <v>45748</v>
      </c>
      <c r="C181" s="2" t="s">
        <v>27</v>
      </c>
      <c r="D181" s="2" t="s">
        <v>21</v>
      </c>
      <c r="E181" s="2">
        <v>74881.56</v>
      </c>
      <c r="F181" s="2">
        <v>9999</v>
      </c>
      <c r="G181" s="2">
        <v>1.2999999999999999E-2</v>
      </c>
      <c r="H181" s="2">
        <v>20</v>
      </c>
      <c r="I181" s="2">
        <v>89.6</v>
      </c>
      <c r="J181" s="2">
        <v>8.44</v>
      </c>
      <c r="K181" s="2">
        <v>0</v>
      </c>
      <c r="L181" s="2">
        <v>4.0999999999999996</v>
      </c>
      <c r="M181" s="5">
        <f t="shared" si="0"/>
        <v>0</v>
      </c>
      <c r="N181" s="5">
        <f t="shared" si="1"/>
        <v>0</v>
      </c>
      <c r="O181" s="5">
        <f t="shared" si="2"/>
        <v>0</v>
      </c>
      <c r="P181" s="5">
        <f t="shared" si="3"/>
        <v>0</v>
      </c>
      <c r="Q181" s="5">
        <f t="shared" si="4"/>
        <v>0</v>
      </c>
      <c r="R181" s="5">
        <f t="shared" si="5"/>
        <v>1</v>
      </c>
      <c r="S181" s="2">
        <v>138666.5</v>
      </c>
      <c r="T181" s="2">
        <v>898031.04</v>
      </c>
      <c r="U181" s="12">
        <f t="shared" si="10"/>
        <v>841823.53335599753</v>
      </c>
      <c r="V181">
        <f t="shared" si="11"/>
        <v>56207.506644002511</v>
      </c>
    </row>
    <row r="182" spans="1:22" ht="14.25">
      <c r="A182" s="2" t="s">
        <v>67</v>
      </c>
      <c r="B182" s="3">
        <v>45658</v>
      </c>
      <c r="C182" s="2" t="s">
        <v>27</v>
      </c>
      <c r="D182" s="2" t="s">
        <v>16</v>
      </c>
      <c r="E182" s="2">
        <v>68491.11</v>
      </c>
      <c r="F182" s="2">
        <v>11154</v>
      </c>
      <c r="G182" s="2">
        <v>1E-3</v>
      </c>
      <c r="H182" s="2">
        <v>24</v>
      </c>
      <c r="I182" s="2">
        <v>89.4</v>
      </c>
      <c r="J182" s="2">
        <v>5.27</v>
      </c>
      <c r="K182" s="2">
        <v>1</v>
      </c>
      <c r="L182" s="2">
        <v>3.9</v>
      </c>
      <c r="M182" s="5">
        <f t="shared" si="0"/>
        <v>0</v>
      </c>
      <c r="N182" s="5">
        <f t="shared" si="1"/>
        <v>0</v>
      </c>
      <c r="O182" s="5">
        <f t="shared" si="2"/>
        <v>0</v>
      </c>
      <c r="P182" s="5">
        <f t="shared" si="3"/>
        <v>0</v>
      </c>
      <c r="Q182" s="5">
        <f t="shared" si="4"/>
        <v>0</v>
      </c>
      <c r="R182" s="5">
        <f t="shared" si="5"/>
        <v>0</v>
      </c>
      <c r="S182" s="2">
        <v>175823.8</v>
      </c>
      <c r="T182" s="2">
        <v>855341.28</v>
      </c>
      <c r="U182" s="12">
        <f t="shared" si="10"/>
        <v>858440.02541485627</v>
      </c>
      <c r="V182">
        <f t="shared" si="11"/>
        <v>-3098.7454148562392</v>
      </c>
    </row>
    <row r="183" spans="1:22" ht="14.25">
      <c r="A183" s="2" t="s">
        <v>67</v>
      </c>
      <c r="B183" s="3">
        <v>45689</v>
      </c>
      <c r="C183" s="2" t="s">
        <v>27</v>
      </c>
      <c r="D183" s="2" t="s">
        <v>16</v>
      </c>
      <c r="E183" s="2">
        <v>45209.25</v>
      </c>
      <c r="F183" s="2">
        <v>9287</v>
      </c>
      <c r="G183" s="2">
        <v>0.14099999999999999</v>
      </c>
      <c r="H183" s="2">
        <v>22</v>
      </c>
      <c r="I183" s="2">
        <v>86.4</v>
      </c>
      <c r="J183" s="2">
        <v>13.22</v>
      </c>
      <c r="K183" s="2">
        <v>0</v>
      </c>
      <c r="L183" s="2">
        <v>3.6</v>
      </c>
      <c r="M183" s="5">
        <f t="shared" si="0"/>
        <v>0</v>
      </c>
      <c r="N183" s="5">
        <f t="shared" si="1"/>
        <v>0</v>
      </c>
      <c r="O183" s="5">
        <f t="shared" si="2"/>
        <v>0</v>
      </c>
      <c r="P183" s="5">
        <f t="shared" si="3"/>
        <v>0</v>
      </c>
      <c r="Q183" s="5">
        <f t="shared" si="4"/>
        <v>0</v>
      </c>
      <c r="R183" s="5">
        <f t="shared" si="5"/>
        <v>0</v>
      </c>
      <c r="S183" s="2">
        <v>91480.320000000007</v>
      </c>
      <c r="T183" s="2">
        <v>751393.88</v>
      </c>
      <c r="U183" s="12">
        <f t="shared" si="10"/>
        <v>711013.410347461</v>
      </c>
      <c r="V183">
        <f t="shared" si="11"/>
        <v>40380.469652539003</v>
      </c>
    </row>
    <row r="184" spans="1:22" ht="14.25">
      <c r="A184" s="2" t="s">
        <v>67</v>
      </c>
      <c r="B184" s="3">
        <v>45717</v>
      </c>
      <c r="C184" s="2" t="s">
        <v>27</v>
      </c>
      <c r="D184" s="2" t="s">
        <v>16</v>
      </c>
      <c r="E184" s="2">
        <v>63010.23</v>
      </c>
      <c r="F184" s="2">
        <v>9812</v>
      </c>
      <c r="G184" s="2">
        <v>0.113</v>
      </c>
      <c r="H184" s="2">
        <v>24</v>
      </c>
      <c r="I184" s="2">
        <v>76.8</v>
      </c>
      <c r="J184" s="2">
        <v>1.02</v>
      </c>
      <c r="K184" s="2">
        <v>1</v>
      </c>
      <c r="L184" s="2">
        <v>3.8</v>
      </c>
      <c r="M184" s="5">
        <f t="shared" si="0"/>
        <v>0</v>
      </c>
      <c r="N184" s="5">
        <f t="shared" si="1"/>
        <v>0</v>
      </c>
      <c r="O184" s="5">
        <f t="shared" si="2"/>
        <v>0</v>
      </c>
      <c r="P184" s="5">
        <f t="shared" si="3"/>
        <v>0</v>
      </c>
      <c r="Q184" s="5">
        <f t="shared" si="4"/>
        <v>0</v>
      </c>
      <c r="R184" s="5">
        <f t="shared" si="5"/>
        <v>0</v>
      </c>
      <c r="S184" s="2">
        <v>113605.93</v>
      </c>
      <c r="T184" s="2">
        <v>761077.08</v>
      </c>
      <c r="U184" s="12">
        <f t="shared" si="10"/>
        <v>785281.30930712319</v>
      </c>
      <c r="V184">
        <f t="shared" si="11"/>
        <v>-24204.229307123227</v>
      </c>
    </row>
    <row r="185" spans="1:22" ht="14.25">
      <c r="A185" s="2" t="s">
        <v>67</v>
      </c>
      <c r="B185" s="3">
        <v>45748</v>
      </c>
      <c r="C185" s="2" t="s">
        <v>27</v>
      </c>
      <c r="D185" s="2" t="s">
        <v>16</v>
      </c>
      <c r="E185" s="2">
        <v>57948.88</v>
      </c>
      <c r="F185" s="2">
        <v>10741</v>
      </c>
      <c r="G185" s="2">
        <v>7.0000000000000007E-2</v>
      </c>
      <c r="H185" s="2">
        <v>25</v>
      </c>
      <c r="I185" s="2">
        <v>90.1</v>
      </c>
      <c r="J185" s="2">
        <v>4.03</v>
      </c>
      <c r="K185" s="2">
        <v>0</v>
      </c>
      <c r="L185" s="2">
        <v>3.1</v>
      </c>
      <c r="M185" s="5">
        <f t="shared" si="0"/>
        <v>0</v>
      </c>
      <c r="N185" s="5">
        <f t="shared" si="1"/>
        <v>0</v>
      </c>
      <c r="O185" s="5">
        <f t="shared" si="2"/>
        <v>0</v>
      </c>
      <c r="P185" s="5">
        <f t="shared" si="3"/>
        <v>0</v>
      </c>
      <c r="Q185" s="5">
        <f t="shared" si="4"/>
        <v>0</v>
      </c>
      <c r="R185" s="5">
        <f t="shared" si="5"/>
        <v>0</v>
      </c>
      <c r="S185" s="2">
        <v>172699.95</v>
      </c>
      <c r="T185" s="2">
        <v>819660.59</v>
      </c>
      <c r="U185" s="12">
        <f t="shared" si="10"/>
        <v>816299.39908230887</v>
      </c>
      <c r="V185">
        <f t="shared" si="11"/>
        <v>3361.1909176910995</v>
      </c>
    </row>
    <row r="186" spans="1:22" ht="14.25">
      <c r="A186" s="2" t="s">
        <v>68</v>
      </c>
      <c r="B186" s="3">
        <v>45658</v>
      </c>
      <c r="C186" s="2" t="s">
        <v>20</v>
      </c>
      <c r="D186" s="2" t="s">
        <v>18</v>
      </c>
      <c r="E186" s="2">
        <v>71941.62</v>
      </c>
      <c r="F186" s="2">
        <v>6084</v>
      </c>
      <c r="G186" s="2">
        <v>7.1999999999999995E-2</v>
      </c>
      <c r="H186" s="2">
        <v>13</v>
      </c>
      <c r="I186" s="2">
        <v>93.7</v>
      </c>
      <c r="J186" s="2">
        <v>2.34</v>
      </c>
      <c r="K186" s="2">
        <v>0</v>
      </c>
      <c r="L186" s="2">
        <v>4.4000000000000004</v>
      </c>
      <c r="M186" s="5">
        <f t="shared" si="0"/>
        <v>1</v>
      </c>
      <c r="N186" s="5">
        <f t="shared" si="1"/>
        <v>0</v>
      </c>
      <c r="O186" s="5">
        <f t="shared" si="2"/>
        <v>0</v>
      </c>
      <c r="P186" s="5">
        <f t="shared" si="3"/>
        <v>0</v>
      </c>
      <c r="Q186" s="5">
        <f t="shared" si="4"/>
        <v>1</v>
      </c>
      <c r="R186" s="5">
        <f t="shared" si="5"/>
        <v>0</v>
      </c>
      <c r="S186" s="2">
        <v>117645.61</v>
      </c>
      <c r="T186" s="2">
        <v>681855.56</v>
      </c>
      <c r="U186" s="12">
        <f t="shared" si="10"/>
        <v>701714.89121955703</v>
      </c>
      <c r="V186">
        <f t="shared" si="11"/>
        <v>-19859.331219556974</v>
      </c>
    </row>
    <row r="187" spans="1:22" ht="14.25">
      <c r="A187" s="2" t="s">
        <v>68</v>
      </c>
      <c r="B187" s="3">
        <v>45689</v>
      </c>
      <c r="C187" s="2" t="s">
        <v>20</v>
      </c>
      <c r="D187" s="2" t="s">
        <v>18</v>
      </c>
      <c r="E187" s="2">
        <v>57147.88</v>
      </c>
      <c r="F187" s="2">
        <v>5252</v>
      </c>
      <c r="G187" s="2">
        <v>0.161</v>
      </c>
      <c r="H187" s="2">
        <v>15</v>
      </c>
      <c r="I187" s="2">
        <v>95.5</v>
      </c>
      <c r="J187" s="2">
        <v>8.51</v>
      </c>
      <c r="K187" s="2">
        <v>0</v>
      </c>
      <c r="L187" s="2">
        <v>4.4000000000000004</v>
      </c>
      <c r="M187" s="5">
        <f t="shared" si="0"/>
        <v>1</v>
      </c>
      <c r="N187" s="5">
        <f t="shared" si="1"/>
        <v>0</v>
      </c>
      <c r="O187" s="5">
        <f t="shared" si="2"/>
        <v>0</v>
      </c>
      <c r="P187" s="5">
        <f t="shared" si="3"/>
        <v>0</v>
      </c>
      <c r="Q187" s="5">
        <f t="shared" si="4"/>
        <v>1</v>
      </c>
      <c r="R187" s="5">
        <f t="shared" si="5"/>
        <v>0</v>
      </c>
      <c r="S187" s="2">
        <v>132029.76000000001</v>
      </c>
      <c r="T187" s="2">
        <v>678311.17</v>
      </c>
      <c r="U187" s="12">
        <f t="shared" si="10"/>
        <v>648716.82039030688</v>
      </c>
      <c r="V187">
        <f t="shared" si="11"/>
        <v>29594.349609693163</v>
      </c>
    </row>
    <row r="188" spans="1:22" ht="14.25">
      <c r="A188" s="2" t="s">
        <v>68</v>
      </c>
      <c r="B188" s="3">
        <v>45717</v>
      </c>
      <c r="C188" s="2" t="s">
        <v>20</v>
      </c>
      <c r="D188" s="2" t="s">
        <v>18</v>
      </c>
      <c r="E188" s="2">
        <v>48031.74</v>
      </c>
      <c r="F188" s="2">
        <v>6516</v>
      </c>
      <c r="G188" s="2">
        <v>6.7000000000000004E-2</v>
      </c>
      <c r="H188" s="2">
        <v>14</v>
      </c>
      <c r="I188" s="2">
        <v>99</v>
      </c>
      <c r="J188" s="2">
        <v>0.48</v>
      </c>
      <c r="K188" s="2">
        <v>1</v>
      </c>
      <c r="L188" s="2">
        <v>4.3</v>
      </c>
      <c r="M188" s="5">
        <f t="shared" si="0"/>
        <v>1</v>
      </c>
      <c r="N188" s="5">
        <f t="shared" si="1"/>
        <v>0</v>
      </c>
      <c r="O188" s="5">
        <f t="shared" si="2"/>
        <v>0</v>
      </c>
      <c r="P188" s="5">
        <f t="shared" si="3"/>
        <v>0</v>
      </c>
      <c r="Q188" s="5">
        <f t="shared" si="4"/>
        <v>1</v>
      </c>
      <c r="R188" s="5">
        <f t="shared" si="5"/>
        <v>0</v>
      </c>
      <c r="S188" s="2">
        <v>114005.9</v>
      </c>
      <c r="T188" s="2">
        <v>765906.95</v>
      </c>
      <c r="U188" s="12">
        <f t="shared" si="10"/>
        <v>724840.4336140462</v>
      </c>
      <c r="V188">
        <f t="shared" si="11"/>
        <v>41066.516385953757</v>
      </c>
    </row>
    <row r="189" spans="1:22" ht="14.25">
      <c r="A189" s="2" t="s">
        <v>68</v>
      </c>
      <c r="B189" s="3">
        <v>45748</v>
      </c>
      <c r="C189" s="2" t="s">
        <v>20</v>
      </c>
      <c r="D189" s="2" t="s">
        <v>18</v>
      </c>
      <c r="E189" s="2">
        <v>72784.800000000003</v>
      </c>
      <c r="F189" s="2">
        <v>7932</v>
      </c>
      <c r="G189" s="2">
        <v>9.4E-2</v>
      </c>
      <c r="H189" s="2">
        <v>20</v>
      </c>
      <c r="I189" s="2">
        <v>74.900000000000006</v>
      </c>
      <c r="J189" s="2">
        <v>13.62</v>
      </c>
      <c r="K189" s="2">
        <v>0</v>
      </c>
      <c r="L189" s="2">
        <v>4.2</v>
      </c>
      <c r="M189" s="5">
        <f t="shared" si="0"/>
        <v>1</v>
      </c>
      <c r="N189" s="5">
        <f t="shared" si="1"/>
        <v>0</v>
      </c>
      <c r="O189" s="5">
        <f t="shared" si="2"/>
        <v>0</v>
      </c>
      <c r="P189" s="5">
        <f t="shared" si="3"/>
        <v>0</v>
      </c>
      <c r="Q189" s="5">
        <f t="shared" si="4"/>
        <v>1</v>
      </c>
      <c r="R189" s="5">
        <f t="shared" si="5"/>
        <v>0</v>
      </c>
      <c r="S189" s="2">
        <v>101480.04</v>
      </c>
      <c r="T189" s="2">
        <v>712546.38</v>
      </c>
      <c r="U189" s="12">
        <f t="shared" si="10"/>
        <v>678050.50875594164</v>
      </c>
      <c r="V189">
        <f t="shared" si="11"/>
        <v>34495.871244058362</v>
      </c>
    </row>
    <row r="190" spans="1:22" ht="14.25">
      <c r="A190" s="2" t="s">
        <v>69</v>
      </c>
      <c r="B190" s="3">
        <v>45658</v>
      </c>
      <c r="C190" s="2" t="s">
        <v>15</v>
      </c>
      <c r="D190" s="2" t="s">
        <v>18</v>
      </c>
      <c r="E190" s="2">
        <v>71641.899999999994</v>
      </c>
      <c r="F190" s="2">
        <v>3506</v>
      </c>
      <c r="G190" s="2">
        <v>0</v>
      </c>
      <c r="H190" s="2">
        <v>11</v>
      </c>
      <c r="I190" s="2">
        <v>86.4</v>
      </c>
      <c r="J190" s="2">
        <v>7.77</v>
      </c>
      <c r="K190" s="2">
        <v>0</v>
      </c>
      <c r="L190" s="2">
        <v>4.0999999999999996</v>
      </c>
      <c r="M190" s="5">
        <f t="shared" si="0"/>
        <v>0</v>
      </c>
      <c r="N190" s="5">
        <f t="shared" si="1"/>
        <v>0</v>
      </c>
      <c r="O190" s="5">
        <f t="shared" si="2"/>
        <v>1</v>
      </c>
      <c r="P190" s="5">
        <f t="shared" si="3"/>
        <v>0</v>
      </c>
      <c r="Q190" s="5">
        <f t="shared" si="4"/>
        <v>1</v>
      </c>
      <c r="R190" s="5">
        <f t="shared" si="5"/>
        <v>0</v>
      </c>
      <c r="S190" s="2">
        <v>98960.320000000007</v>
      </c>
      <c r="T190" s="2">
        <v>625993.82999999996</v>
      </c>
      <c r="U190" s="12">
        <f t="shared" si="10"/>
        <v>572107.63656363473</v>
      </c>
      <c r="V190">
        <f t="shared" si="11"/>
        <v>53886.193436365225</v>
      </c>
    </row>
    <row r="191" spans="1:22" ht="14.25">
      <c r="A191" s="2" t="s">
        <v>69</v>
      </c>
      <c r="B191" s="3">
        <v>45689</v>
      </c>
      <c r="C191" s="2" t="s">
        <v>15</v>
      </c>
      <c r="D191" s="2" t="s">
        <v>18</v>
      </c>
      <c r="E191" s="2">
        <v>55788.61</v>
      </c>
      <c r="F191" s="2">
        <v>2312</v>
      </c>
      <c r="G191" s="2">
        <v>5.8000000000000003E-2</v>
      </c>
      <c r="H191" s="2">
        <v>10</v>
      </c>
      <c r="I191" s="2">
        <v>91.3</v>
      </c>
      <c r="J191" s="2">
        <v>1.99</v>
      </c>
      <c r="K191" s="2">
        <v>0</v>
      </c>
      <c r="L191" s="2">
        <v>3.8</v>
      </c>
      <c r="M191" s="5">
        <f t="shared" si="0"/>
        <v>0</v>
      </c>
      <c r="N191" s="5">
        <f t="shared" si="1"/>
        <v>0</v>
      </c>
      <c r="O191" s="5">
        <f t="shared" si="2"/>
        <v>1</v>
      </c>
      <c r="P191" s="5">
        <f t="shared" si="3"/>
        <v>0</v>
      </c>
      <c r="Q191" s="5">
        <f t="shared" si="4"/>
        <v>1</v>
      </c>
      <c r="R191" s="5">
        <f t="shared" si="5"/>
        <v>0</v>
      </c>
      <c r="S191" s="2">
        <v>97144.58</v>
      </c>
      <c r="T191" s="2">
        <v>550962.93000000005</v>
      </c>
      <c r="U191" s="12">
        <f t="shared" si="10"/>
        <v>545510.62661867612</v>
      </c>
      <c r="V191">
        <f t="shared" si="11"/>
        <v>5452.3033813239308</v>
      </c>
    </row>
    <row r="192" spans="1:22" ht="14.25">
      <c r="A192" s="2" t="s">
        <v>69</v>
      </c>
      <c r="B192" s="3">
        <v>45717</v>
      </c>
      <c r="C192" s="2" t="s">
        <v>15</v>
      </c>
      <c r="D192" s="2" t="s">
        <v>18</v>
      </c>
      <c r="E192" s="2">
        <v>37705.879999999997</v>
      </c>
      <c r="F192" s="2">
        <v>1268</v>
      </c>
      <c r="G192" s="2">
        <v>0.25900000000000001</v>
      </c>
      <c r="H192" s="2">
        <v>9</v>
      </c>
      <c r="I192" s="2">
        <v>84.1</v>
      </c>
      <c r="J192" s="2">
        <v>4.7699999999999996</v>
      </c>
      <c r="K192" s="2">
        <v>0</v>
      </c>
      <c r="L192" s="2">
        <v>3.8</v>
      </c>
      <c r="M192" s="5">
        <f t="shared" si="0"/>
        <v>0</v>
      </c>
      <c r="N192" s="5">
        <f t="shared" si="1"/>
        <v>0</v>
      </c>
      <c r="O192" s="5">
        <f t="shared" si="2"/>
        <v>1</v>
      </c>
      <c r="P192" s="5">
        <f t="shared" si="3"/>
        <v>0</v>
      </c>
      <c r="Q192" s="5">
        <f t="shared" si="4"/>
        <v>1</v>
      </c>
      <c r="R192" s="5">
        <f t="shared" si="5"/>
        <v>0</v>
      </c>
      <c r="S192" s="2">
        <v>53544.36</v>
      </c>
      <c r="T192" s="2">
        <v>443275.59</v>
      </c>
      <c r="U192" s="12">
        <f t="shared" si="10"/>
        <v>451688.70285962289</v>
      </c>
      <c r="V192">
        <f t="shared" si="11"/>
        <v>-8413.1128596228664</v>
      </c>
    </row>
    <row r="193" spans="1:22" ht="14.25">
      <c r="A193" s="2" t="s">
        <v>69</v>
      </c>
      <c r="B193" s="3">
        <v>45748</v>
      </c>
      <c r="C193" s="2" t="s">
        <v>15</v>
      </c>
      <c r="D193" s="2" t="s">
        <v>18</v>
      </c>
      <c r="E193" s="2">
        <v>54966.18</v>
      </c>
      <c r="F193" s="2">
        <v>4423</v>
      </c>
      <c r="G193" s="2">
        <v>0.186</v>
      </c>
      <c r="H193" s="2">
        <v>13</v>
      </c>
      <c r="I193" s="2">
        <v>88.7</v>
      </c>
      <c r="J193" s="2">
        <v>0.2</v>
      </c>
      <c r="K193" s="2">
        <v>0</v>
      </c>
      <c r="L193" s="2">
        <v>4.4000000000000004</v>
      </c>
      <c r="M193" s="5">
        <f t="shared" si="0"/>
        <v>0</v>
      </c>
      <c r="N193" s="5">
        <f t="shared" si="1"/>
        <v>0</v>
      </c>
      <c r="O193" s="5">
        <f t="shared" si="2"/>
        <v>1</v>
      </c>
      <c r="P193" s="5">
        <f t="shared" si="3"/>
        <v>0</v>
      </c>
      <c r="Q193" s="5">
        <f t="shared" si="4"/>
        <v>1</v>
      </c>
      <c r="R193" s="5">
        <f t="shared" si="5"/>
        <v>0</v>
      </c>
      <c r="S193" s="2">
        <v>81101.62</v>
      </c>
      <c r="T193" s="2">
        <v>554012.06999999995</v>
      </c>
      <c r="U193" s="12">
        <f t="shared" si="10"/>
        <v>613166.47003408044</v>
      </c>
      <c r="V193">
        <f t="shared" si="11"/>
        <v>-59154.400034080492</v>
      </c>
    </row>
    <row r="194" spans="1:22" ht="14.25">
      <c r="A194" s="2" t="s">
        <v>70</v>
      </c>
      <c r="B194" s="3">
        <v>45658</v>
      </c>
      <c r="C194" s="2" t="s">
        <v>27</v>
      </c>
      <c r="D194" s="2" t="s">
        <v>16</v>
      </c>
      <c r="E194" s="2">
        <v>81796.740000000005</v>
      </c>
      <c r="F194" s="2">
        <v>6177</v>
      </c>
      <c r="G194" s="2">
        <v>0.16400000000000001</v>
      </c>
      <c r="H194" s="2">
        <v>14</v>
      </c>
      <c r="I194" s="2">
        <v>87.9</v>
      </c>
      <c r="J194" s="2">
        <v>0.53</v>
      </c>
      <c r="K194" s="2">
        <v>0</v>
      </c>
      <c r="L194" s="2">
        <v>3.2</v>
      </c>
      <c r="M194" s="5">
        <f t="shared" si="0"/>
        <v>0</v>
      </c>
      <c r="N194" s="5">
        <f t="shared" si="1"/>
        <v>0</v>
      </c>
      <c r="O194" s="5">
        <f t="shared" si="2"/>
        <v>0</v>
      </c>
      <c r="P194" s="5">
        <f t="shared" si="3"/>
        <v>0</v>
      </c>
      <c r="Q194" s="5">
        <f t="shared" si="4"/>
        <v>0</v>
      </c>
      <c r="R194" s="5">
        <f t="shared" si="5"/>
        <v>0</v>
      </c>
      <c r="S194" s="2">
        <v>94477.63</v>
      </c>
      <c r="T194" s="2">
        <v>643428.85</v>
      </c>
      <c r="U194" s="12">
        <f t="shared" si="10"/>
        <v>684469.42561483616</v>
      </c>
      <c r="V194">
        <f t="shared" si="11"/>
        <v>-41040.575614836183</v>
      </c>
    </row>
    <row r="195" spans="1:22" ht="14.25">
      <c r="A195" s="2" t="s">
        <v>70</v>
      </c>
      <c r="B195" s="3">
        <v>45689</v>
      </c>
      <c r="C195" s="2" t="s">
        <v>27</v>
      </c>
      <c r="D195" s="2" t="s">
        <v>16</v>
      </c>
      <c r="E195" s="2">
        <v>51133.43</v>
      </c>
      <c r="F195" s="2">
        <v>5150</v>
      </c>
      <c r="G195" s="2">
        <v>0.15</v>
      </c>
      <c r="H195" s="2">
        <v>12</v>
      </c>
      <c r="I195" s="2">
        <v>88.5</v>
      </c>
      <c r="J195" s="2">
        <v>1.54</v>
      </c>
      <c r="K195" s="2">
        <v>0</v>
      </c>
      <c r="L195" s="2">
        <v>3.2</v>
      </c>
      <c r="M195" s="5">
        <f t="shared" si="0"/>
        <v>0</v>
      </c>
      <c r="N195" s="5">
        <f t="shared" si="1"/>
        <v>0</v>
      </c>
      <c r="O195" s="5">
        <f t="shared" si="2"/>
        <v>0</v>
      </c>
      <c r="P195" s="5">
        <f t="shared" si="3"/>
        <v>0</v>
      </c>
      <c r="Q195" s="5">
        <f t="shared" si="4"/>
        <v>0</v>
      </c>
      <c r="R195" s="5">
        <f t="shared" si="5"/>
        <v>0</v>
      </c>
      <c r="S195" s="2">
        <v>115488.75</v>
      </c>
      <c r="T195" s="2">
        <v>611924.27</v>
      </c>
      <c r="U195" s="12">
        <f t="shared" ref="U195:U258" si="12">66915.46892
+(1.209928492*E195)
+(27.33619482*F195)
+(-41243.14883*G195)
+(3508.399163*H195)
+(3062.210286*I195)
+(-3438.10791*J195)
+(15157.28728*K195)
+(12509.46131*L195)
+(-15342.70531*M195)
+(-4201.853217*N195)
+(-25291.41891*O195)
+(32832.85351*P195)
+(20219.25907*Q195)
+(44695.0949*R195)</f>
        <v>611220.18404678756</v>
      </c>
      <c r="V195">
        <f t="shared" ref="V195:V258" si="13">T195-U195</f>
        <v>704.08595321245957</v>
      </c>
    </row>
    <row r="196" spans="1:22" ht="14.25">
      <c r="A196" s="2" t="s">
        <v>70</v>
      </c>
      <c r="B196" s="3">
        <v>45717</v>
      </c>
      <c r="C196" s="2" t="s">
        <v>27</v>
      </c>
      <c r="D196" s="2" t="s">
        <v>16</v>
      </c>
      <c r="E196" s="2">
        <v>40220.18</v>
      </c>
      <c r="F196" s="2">
        <v>3783</v>
      </c>
      <c r="G196" s="2">
        <v>8.8999999999999996E-2</v>
      </c>
      <c r="H196" s="2">
        <v>14</v>
      </c>
      <c r="I196" s="2">
        <v>86.6</v>
      </c>
      <c r="J196" s="2">
        <v>3.63</v>
      </c>
      <c r="K196" s="2">
        <v>0</v>
      </c>
      <c r="L196" s="2">
        <v>3.7</v>
      </c>
      <c r="M196" s="5">
        <f t="shared" si="0"/>
        <v>0</v>
      </c>
      <c r="N196" s="5">
        <f t="shared" si="1"/>
        <v>0</v>
      </c>
      <c r="O196" s="5">
        <f t="shared" si="2"/>
        <v>0</v>
      </c>
      <c r="P196" s="5">
        <f t="shared" si="3"/>
        <v>0</v>
      </c>
      <c r="Q196" s="5">
        <f t="shared" si="4"/>
        <v>0</v>
      </c>
      <c r="R196" s="5">
        <f t="shared" si="5"/>
        <v>0</v>
      </c>
      <c r="S196" s="2">
        <v>73528.740000000005</v>
      </c>
      <c r="T196" s="2">
        <v>559422.02</v>
      </c>
      <c r="U196" s="12">
        <f t="shared" si="12"/>
        <v>563430.86959685851</v>
      </c>
      <c r="V196">
        <f t="shared" si="13"/>
        <v>-4008.8495968584903</v>
      </c>
    </row>
    <row r="197" spans="1:22" ht="14.25">
      <c r="A197" s="2" t="s">
        <v>70</v>
      </c>
      <c r="B197" s="3">
        <v>45748</v>
      </c>
      <c r="C197" s="2" t="s">
        <v>27</v>
      </c>
      <c r="D197" s="2" t="s">
        <v>16</v>
      </c>
      <c r="E197" s="2">
        <v>41657.64</v>
      </c>
      <c r="F197" s="2">
        <v>3135</v>
      </c>
      <c r="G197" s="2">
        <v>0.22900000000000001</v>
      </c>
      <c r="H197" s="2">
        <v>7</v>
      </c>
      <c r="I197" s="2">
        <v>85.4</v>
      </c>
      <c r="J197" s="2">
        <v>13.48</v>
      </c>
      <c r="K197" s="2">
        <v>0</v>
      </c>
      <c r="L197" s="4">
        <v>3.9</v>
      </c>
      <c r="M197" s="5">
        <f t="shared" si="0"/>
        <v>0</v>
      </c>
      <c r="N197" s="5">
        <f t="shared" si="1"/>
        <v>0</v>
      </c>
      <c r="O197" s="5">
        <f t="shared" si="2"/>
        <v>0</v>
      </c>
      <c r="P197" s="5">
        <f t="shared" si="3"/>
        <v>0</v>
      </c>
      <c r="Q197" s="5">
        <f t="shared" si="4"/>
        <v>0</v>
      </c>
      <c r="R197" s="5">
        <f t="shared" si="5"/>
        <v>0</v>
      </c>
      <c r="S197" s="2">
        <v>65694.78</v>
      </c>
      <c r="T197" s="2">
        <v>449465.06</v>
      </c>
      <c r="U197" s="12">
        <f t="shared" si="12"/>
        <v>482085.28119170887</v>
      </c>
      <c r="V197">
        <f t="shared" si="13"/>
        <v>-32620.221191708872</v>
      </c>
    </row>
    <row r="198" spans="1:22" ht="14.25">
      <c r="A198" s="2" t="s">
        <v>71</v>
      </c>
      <c r="B198" s="3">
        <v>45658</v>
      </c>
      <c r="C198" s="2" t="s">
        <v>20</v>
      </c>
      <c r="D198" s="2" t="s">
        <v>16</v>
      </c>
      <c r="E198" s="2">
        <v>71851.45</v>
      </c>
      <c r="F198" s="2">
        <v>4970</v>
      </c>
      <c r="G198" s="2">
        <v>9.8000000000000004E-2</v>
      </c>
      <c r="H198" s="2">
        <v>11</v>
      </c>
      <c r="I198" s="2">
        <v>89.6</v>
      </c>
      <c r="J198" s="2">
        <v>0.2</v>
      </c>
      <c r="K198" s="2">
        <v>0</v>
      </c>
      <c r="L198" s="2">
        <v>4.2</v>
      </c>
      <c r="M198" s="5">
        <f t="shared" si="0"/>
        <v>1</v>
      </c>
      <c r="N198" s="5">
        <f t="shared" si="1"/>
        <v>0</v>
      </c>
      <c r="O198" s="5">
        <f t="shared" si="2"/>
        <v>0</v>
      </c>
      <c r="P198" s="5">
        <f t="shared" si="3"/>
        <v>0</v>
      </c>
      <c r="Q198" s="5">
        <f t="shared" si="4"/>
        <v>0</v>
      </c>
      <c r="R198" s="5">
        <f t="shared" si="5"/>
        <v>0</v>
      </c>
      <c r="S198" s="2">
        <v>114077.69</v>
      </c>
      <c r="T198" s="2">
        <v>691447.43</v>
      </c>
      <c r="U198" s="12">
        <f t="shared" si="12"/>
        <v>635145.48816517333</v>
      </c>
      <c r="V198">
        <f t="shared" si="13"/>
        <v>56301.941834826721</v>
      </c>
    </row>
    <row r="199" spans="1:22" ht="14.25">
      <c r="A199" s="2" t="s">
        <v>71</v>
      </c>
      <c r="B199" s="3">
        <v>45689</v>
      </c>
      <c r="C199" s="2" t="s">
        <v>20</v>
      </c>
      <c r="D199" s="2" t="s">
        <v>16</v>
      </c>
      <c r="E199" s="2">
        <v>54002.83</v>
      </c>
      <c r="F199" s="2">
        <v>4366</v>
      </c>
      <c r="G199" s="2">
        <v>2.7E-2</v>
      </c>
      <c r="H199" s="2">
        <v>15</v>
      </c>
      <c r="I199" s="2">
        <v>90.6</v>
      </c>
      <c r="J199" s="2">
        <v>12.82</v>
      </c>
      <c r="K199" s="2">
        <v>0</v>
      </c>
      <c r="L199" s="2">
        <v>4.5999999999999996</v>
      </c>
      <c r="M199" s="5">
        <f t="shared" si="0"/>
        <v>1</v>
      </c>
      <c r="N199" s="5">
        <f t="shared" si="1"/>
        <v>0</v>
      </c>
      <c r="O199" s="5">
        <f t="shared" si="2"/>
        <v>0</v>
      </c>
      <c r="P199" s="5">
        <f t="shared" si="3"/>
        <v>0</v>
      </c>
      <c r="Q199" s="5">
        <f t="shared" si="4"/>
        <v>0</v>
      </c>
      <c r="R199" s="5">
        <f t="shared" si="5"/>
        <v>0</v>
      </c>
      <c r="S199" s="2">
        <v>124674.67</v>
      </c>
      <c r="T199" s="2">
        <v>574066.61</v>
      </c>
      <c r="U199" s="12">
        <f t="shared" si="12"/>
        <v>578677.80581774225</v>
      </c>
      <c r="V199">
        <f t="shared" si="13"/>
        <v>-4611.1958177422639</v>
      </c>
    </row>
    <row r="200" spans="1:22" ht="14.25">
      <c r="A200" s="2" t="s">
        <v>71</v>
      </c>
      <c r="B200" s="3">
        <v>45717</v>
      </c>
      <c r="C200" s="2" t="s">
        <v>20</v>
      </c>
      <c r="D200" s="2" t="s">
        <v>16</v>
      </c>
      <c r="E200" s="2">
        <v>54479.33</v>
      </c>
      <c r="F200" s="2">
        <v>5012</v>
      </c>
      <c r="G200" s="2">
        <v>0.28399999999999997</v>
      </c>
      <c r="H200" s="2">
        <v>13</v>
      </c>
      <c r="I200" s="2">
        <v>86</v>
      </c>
      <c r="J200" s="2">
        <v>2.2400000000000002</v>
      </c>
      <c r="K200" s="2">
        <v>1</v>
      </c>
      <c r="L200" s="2">
        <v>4.3</v>
      </c>
      <c r="M200" s="5">
        <f t="shared" si="0"/>
        <v>1</v>
      </c>
      <c r="N200" s="5">
        <f t="shared" si="1"/>
        <v>0</v>
      </c>
      <c r="O200" s="5">
        <f t="shared" si="2"/>
        <v>0</v>
      </c>
      <c r="P200" s="5">
        <f t="shared" si="3"/>
        <v>0</v>
      </c>
      <c r="Q200" s="5">
        <f t="shared" si="4"/>
        <v>0</v>
      </c>
      <c r="R200" s="5">
        <f t="shared" si="5"/>
        <v>0</v>
      </c>
      <c r="S200" s="2">
        <v>80253.649999999994</v>
      </c>
      <c r="T200" s="2">
        <v>578949.84</v>
      </c>
      <c r="U200" s="12">
        <f t="shared" si="12"/>
        <v>612990.69428179029</v>
      </c>
      <c r="V200">
        <f t="shared" si="13"/>
        <v>-34040.854281790322</v>
      </c>
    </row>
    <row r="201" spans="1:22" ht="14.25">
      <c r="A201" s="2" t="s">
        <v>71</v>
      </c>
      <c r="B201" s="3">
        <v>45748</v>
      </c>
      <c r="C201" s="2" t="s">
        <v>20</v>
      </c>
      <c r="D201" s="2" t="s">
        <v>16</v>
      </c>
      <c r="E201" s="2">
        <v>61391.8</v>
      </c>
      <c r="F201" s="2">
        <v>5575</v>
      </c>
      <c r="G201" s="2">
        <v>0.189</v>
      </c>
      <c r="H201" s="2">
        <v>18</v>
      </c>
      <c r="I201" s="2">
        <v>90</v>
      </c>
      <c r="J201" s="2">
        <v>1.8</v>
      </c>
      <c r="K201" s="2">
        <v>0</v>
      </c>
      <c r="L201" s="2">
        <v>4.8</v>
      </c>
      <c r="M201" s="5">
        <f t="shared" si="0"/>
        <v>1</v>
      </c>
      <c r="N201" s="5">
        <f t="shared" si="1"/>
        <v>0</v>
      </c>
      <c r="O201" s="5">
        <f t="shared" si="2"/>
        <v>0</v>
      </c>
      <c r="P201" s="5">
        <f t="shared" si="3"/>
        <v>0</v>
      </c>
      <c r="Q201" s="5">
        <f t="shared" si="4"/>
        <v>0</v>
      </c>
      <c r="R201" s="5">
        <f t="shared" si="5"/>
        <v>0</v>
      </c>
      <c r="S201" s="2">
        <v>126540.66</v>
      </c>
      <c r="T201" s="2">
        <v>735786.64</v>
      </c>
      <c r="U201" s="12">
        <f t="shared" si="12"/>
        <v>663063.71332179557</v>
      </c>
      <c r="V201">
        <f t="shared" si="13"/>
        <v>72722.926678204443</v>
      </c>
    </row>
    <row r="202" spans="1:22" ht="14.25">
      <c r="A202" s="2" t="s">
        <v>72</v>
      </c>
      <c r="B202" s="3">
        <v>45658</v>
      </c>
      <c r="C202" s="2" t="s">
        <v>15</v>
      </c>
      <c r="D202" s="2" t="s">
        <v>21</v>
      </c>
      <c r="E202" s="2">
        <v>22312.93</v>
      </c>
      <c r="F202" s="2">
        <v>5955</v>
      </c>
      <c r="G202" s="2">
        <v>0.123</v>
      </c>
      <c r="H202" s="2">
        <v>13</v>
      </c>
      <c r="I202" s="2">
        <v>84.2</v>
      </c>
      <c r="J202" s="2">
        <v>0.41</v>
      </c>
      <c r="K202" s="2">
        <v>1</v>
      </c>
      <c r="L202" s="2">
        <v>4.5999999999999996</v>
      </c>
      <c r="M202" s="5">
        <f t="shared" si="0"/>
        <v>0</v>
      </c>
      <c r="N202" s="5">
        <f t="shared" si="1"/>
        <v>0</v>
      </c>
      <c r="O202" s="5">
        <f t="shared" si="2"/>
        <v>1</v>
      </c>
      <c r="P202" s="5">
        <f t="shared" si="3"/>
        <v>0</v>
      </c>
      <c r="Q202" s="5">
        <f t="shared" si="4"/>
        <v>0</v>
      </c>
      <c r="R202" s="5">
        <f t="shared" si="5"/>
        <v>1</v>
      </c>
      <c r="S202" s="2">
        <v>72861</v>
      </c>
      <c r="T202" s="2">
        <v>598904.9</v>
      </c>
      <c r="U202" s="12">
        <f t="shared" si="12"/>
        <v>645768.80776711146</v>
      </c>
      <c r="V202">
        <f t="shared" si="13"/>
        <v>-46863.907767111436</v>
      </c>
    </row>
    <row r="203" spans="1:22" ht="14.25">
      <c r="A203" s="2" t="s">
        <v>72</v>
      </c>
      <c r="B203" s="3">
        <v>45689</v>
      </c>
      <c r="C203" s="2" t="s">
        <v>15</v>
      </c>
      <c r="D203" s="2" t="s">
        <v>21</v>
      </c>
      <c r="E203" s="2">
        <v>78111.97</v>
      </c>
      <c r="F203" s="2">
        <v>6389</v>
      </c>
      <c r="G203" s="2">
        <v>0.15</v>
      </c>
      <c r="H203" s="2">
        <v>13</v>
      </c>
      <c r="I203" s="2">
        <v>83.9</v>
      </c>
      <c r="J203" s="2">
        <v>3.05</v>
      </c>
      <c r="K203" s="2">
        <v>0</v>
      </c>
      <c r="L203" s="2">
        <v>4.8</v>
      </c>
      <c r="M203" s="5">
        <f t="shared" si="0"/>
        <v>0</v>
      </c>
      <c r="N203" s="5">
        <f t="shared" si="1"/>
        <v>0</v>
      </c>
      <c r="O203" s="5">
        <f t="shared" si="2"/>
        <v>1</v>
      </c>
      <c r="P203" s="5">
        <f t="shared" si="3"/>
        <v>0</v>
      </c>
      <c r="Q203" s="5">
        <f t="shared" si="4"/>
        <v>0</v>
      </c>
      <c r="R203" s="5">
        <f t="shared" si="5"/>
        <v>1</v>
      </c>
      <c r="S203" s="2">
        <v>128969.62</v>
      </c>
      <c r="T203" s="2">
        <v>787715.51</v>
      </c>
      <c r="U203" s="12">
        <f t="shared" si="12"/>
        <v>701381.3366366293</v>
      </c>
      <c r="V203">
        <f t="shared" si="13"/>
        <v>86334.173363370704</v>
      </c>
    </row>
    <row r="204" spans="1:22" ht="14.25">
      <c r="A204" s="2" t="s">
        <v>72</v>
      </c>
      <c r="B204" s="3">
        <v>45717</v>
      </c>
      <c r="C204" s="2" t="s">
        <v>15</v>
      </c>
      <c r="D204" s="2" t="s">
        <v>21</v>
      </c>
      <c r="E204" s="2">
        <v>35203.230000000003</v>
      </c>
      <c r="F204" s="2">
        <v>6896</v>
      </c>
      <c r="G204" s="2">
        <v>3.2000000000000001E-2</v>
      </c>
      <c r="H204" s="2">
        <v>14</v>
      </c>
      <c r="I204" s="2">
        <v>80.8</v>
      </c>
      <c r="J204" s="2">
        <v>8.44</v>
      </c>
      <c r="K204" s="2">
        <v>1</v>
      </c>
      <c r="L204" s="2">
        <v>5</v>
      </c>
      <c r="M204" s="5">
        <f t="shared" si="0"/>
        <v>0</v>
      </c>
      <c r="N204" s="5">
        <f t="shared" si="1"/>
        <v>0</v>
      </c>
      <c r="O204" s="5">
        <f t="shared" si="2"/>
        <v>1</v>
      </c>
      <c r="P204" s="5">
        <f t="shared" si="3"/>
        <v>0</v>
      </c>
      <c r="Q204" s="5">
        <f t="shared" si="4"/>
        <v>0</v>
      </c>
      <c r="R204" s="5">
        <f t="shared" si="5"/>
        <v>1</v>
      </c>
      <c r="S204" s="2">
        <v>98558.49</v>
      </c>
      <c r="T204" s="2">
        <v>607084.92000000004</v>
      </c>
      <c r="U204" s="12">
        <f t="shared" si="12"/>
        <v>661334.29707398918</v>
      </c>
      <c r="V204">
        <f t="shared" si="13"/>
        <v>-54249.377073989133</v>
      </c>
    </row>
    <row r="205" spans="1:22" ht="14.25">
      <c r="A205" s="2" t="s">
        <v>72</v>
      </c>
      <c r="B205" s="3">
        <v>45748</v>
      </c>
      <c r="C205" s="2" t="s">
        <v>15</v>
      </c>
      <c r="D205" s="2" t="s">
        <v>21</v>
      </c>
      <c r="E205" s="2">
        <v>64104.28</v>
      </c>
      <c r="F205" s="2">
        <v>6015</v>
      </c>
      <c r="G205" s="2">
        <v>0.127</v>
      </c>
      <c r="H205" s="2">
        <v>15</v>
      </c>
      <c r="I205" s="2">
        <v>88.7</v>
      </c>
      <c r="J205" s="2">
        <v>0.78</v>
      </c>
      <c r="K205" s="2">
        <v>0</v>
      </c>
      <c r="L205" s="2">
        <v>4</v>
      </c>
      <c r="M205" s="5">
        <f t="shared" si="0"/>
        <v>0</v>
      </c>
      <c r="N205" s="5">
        <f t="shared" si="1"/>
        <v>0</v>
      </c>
      <c r="O205" s="5">
        <f t="shared" si="2"/>
        <v>1</v>
      </c>
      <c r="P205" s="5">
        <f t="shared" si="3"/>
        <v>0</v>
      </c>
      <c r="Q205" s="5">
        <f t="shared" si="4"/>
        <v>0</v>
      </c>
      <c r="R205" s="5">
        <f t="shared" si="5"/>
        <v>1</v>
      </c>
      <c r="S205" s="2">
        <v>103035.89</v>
      </c>
      <c r="T205" s="2">
        <v>650795.49</v>
      </c>
      <c r="U205" s="12">
        <f t="shared" si="12"/>
        <v>694670.23256543581</v>
      </c>
      <c r="V205">
        <f t="shared" si="13"/>
        <v>-43874.742565435823</v>
      </c>
    </row>
    <row r="206" spans="1:22" ht="14.25">
      <c r="A206" s="2" t="s">
        <v>73</v>
      </c>
      <c r="B206" s="3">
        <v>45658</v>
      </c>
      <c r="C206" s="2" t="s">
        <v>15</v>
      </c>
      <c r="D206" s="2" t="s">
        <v>28</v>
      </c>
      <c r="E206" s="2">
        <v>92090.14</v>
      </c>
      <c r="F206" s="2">
        <v>9476</v>
      </c>
      <c r="G206" s="2">
        <v>7.0000000000000007E-2</v>
      </c>
      <c r="H206" s="2">
        <v>24</v>
      </c>
      <c r="I206" s="2">
        <v>94.3</v>
      </c>
      <c r="J206" s="2">
        <v>0.87</v>
      </c>
      <c r="K206" s="2">
        <v>0</v>
      </c>
      <c r="L206" s="2">
        <v>3.7</v>
      </c>
      <c r="M206" s="5">
        <f t="shared" si="0"/>
        <v>0</v>
      </c>
      <c r="N206" s="5">
        <f t="shared" si="1"/>
        <v>0</v>
      </c>
      <c r="O206" s="5">
        <f t="shared" si="2"/>
        <v>1</v>
      </c>
      <c r="P206" s="5">
        <f t="shared" si="3"/>
        <v>1</v>
      </c>
      <c r="Q206" s="5">
        <f t="shared" si="4"/>
        <v>0</v>
      </c>
      <c r="R206" s="5">
        <f t="shared" si="5"/>
        <v>0</v>
      </c>
      <c r="S206" s="2">
        <v>143613.15</v>
      </c>
      <c r="T206" s="2">
        <v>825060.52</v>
      </c>
      <c r="U206" s="12">
        <f t="shared" si="12"/>
        <v>858292.01228158886</v>
      </c>
      <c r="V206">
        <f t="shared" si="13"/>
        <v>-33231.492281588842</v>
      </c>
    </row>
    <row r="207" spans="1:22" ht="14.25">
      <c r="A207" s="2" t="s">
        <v>73</v>
      </c>
      <c r="B207" s="3">
        <v>45689</v>
      </c>
      <c r="C207" s="2" t="s">
        <v>15</v>
      </c>
      <c r="D207" s="2" t="s">
        <v>28</v>
      </c>
      <c r="E207" s="2">
        <v>54300.87</v>
      </c>
      <c r="F207" s="2">
        <v>7875</v>
      </c>
      <c r="G207" s="2">
        <v>0.107</v>
      </c>
      <c r="H207" s="2">
        <v>19</v>
      </c>
      <c r="I207" s="2">
        <v>94.1</v>
      </c>
      <c r="J207" s="2">
        <v>0.95</v>
      </c>
      <c r="K207" s="2">
        <v>0</v>
      </c>
      <c r="L207" s="2">
        <v>3.7</v>
      </c>
      <c r="M207" s="5">
        <f t="shared" si="0"/>
        <v>0</v>
      </c>
      <c r="N207" s="5">
        <f t="shared" si="1"/>
        <v>0</v>
      </c>
      <c r="O207" s="5">
        <f t="shared" si="2"/>
        <v>1</v>
      </c>
      <c r="P207" s="5">
        <f t="shared" si="3"/>
        <v>1</v>
      </c>
      <c r="Q207" s="5">
        <f t="shared" si="4"/>
        <v>0</v>
      </c>
      <c r="R207" s="5">
        <f t="shared" si="5"/>
        <v>0</v>
      </c>
      <c r="S207" s="2">
        <v>161150.51999999999</v>
      </c>
      <c r="T207" s="2">
        <v>795464.47</v>
      </c>
      <c r="U207" s="12">
        <f t="shared" si="12"/>
        <v>748848.9668981781</v>
      </c>
      <c r="V207">
        <f t="shared" si="13"/>
        <v>46615.503101821872</v>
      </c>
    </row>
    <row r="208" spans="1:22" ht="14.25">
      <c r="A208" s="2" t="s">
        <v>73</v>
      </c>
      <c r="B208" s="3">
        <v>45717</v>
      </c>
      <c r="C208" s="2" t="s">
        <v>15</v>
      </c>
      <c r="D208" s="2" t="s">
        <v>28</v>
      </c>
      <c r="E208" s="2">
        <v>37983.35</v>
      </c>
      <c r="F208" s="2">
        <v>9283</v>
      </c>
      <c r="G208" s="2">
        <v>0.14899999999999999</v>
      </c>
      <c r="H208" s="2">
        <v>19</v>
      </c>
      <c r="I208" s="2">
        <v>83.2</v>
      </c>
      <c r="J208" s="2">
        <v>3.82</v>
      </c>
      <c r="K208" s="2">
        <v>0</v>
      </c>
      <c r="L208" s="2">
        <v>3.7</v>
      </c>
      <c r="M208" s="5">
        <f t="shared" si="0"/>
        <v>0</v>
      </c>
      <c r="N208" s="5">
        <f t="shared" si="1"/>
        <v>0</v>
      </c>
      <c r="O208" s="5">
        <f t="shared" si="2"/>
        <v>1</v>
      </c>
      <c r="P208" s="5">
        <f t="shared" si="3"/>
        <v>1</v>
      </c>
      <c r="Q208" s="5">
        <f t="shared" si="4"/>
        <v>0</v>
      </c>
      <c r="R208" s="5">
        <f t="shared" si="5"/>
        <v>0</v>
      </c>
      <c r="S208" s="2">
        <v>71003.28</v>
      </c>
      <c r="T208" s="2">
        <v>671868.59</v>
      </c>
      <c r="U208" s="12">
        <f t="shared" si="12"/>
        <v>722617.62276799837</v>
      </c>
      <c r="V208">
        <f t="shared" si="13"/>
        <v>-50749.032767998404</v>
      </c>
    </row>
    <row r="209" spans="1:22" ht="14.25">
      <c r="A209" s="2" t="s">
        <v>73</v>
      </c>
      <c r="B209" s="3">
        <v>45748</v>
      </c>
      <c r="C209" s="2" t="s">
        <v>15</v>
      </c>
      <c r="D209" s="2" t="s">
        <v>28</v>
      </c>
      <c r="E209" s="2">
        <v>56413.83</v>
      </c>
      <c r="F209" s="2">
        <v>8303</v>
      </c>
      <c r="G209" s="2">
        <v>0.11600000000000001</v>
      </c>
      <c r="H209" s="2">
        <v>18</v>
      </c>
      <c r="I209" s="2">
        <v>93.6</v>
      </c>
      <c r="J209" s="2">
        <v>2.7</v>
      </c>
      <c r="K209" s="2">
        <v>0</v>
      </c>
      <c r="L209" s="2">
        <v>3.7</v>
      </c>
      <c r="M209" s="5">
        <f t="shared" si="0"/>
        <v>0</v>
      </c>
      <c r="N209" s="5">
        <f t="shared" si="1"/>
        <v>0</v>
      </c>
      <c r="O209" s="5">
        <f t="shared" si="2"/>
        <v>1</v>
      </c>
      <c r="P209" s="5">
        <f t="shared" si="3"/>
        <v>1</v>
      </c>
      <c r="Q209" s="5">
        <f t="shared" si="4"/>
        <v>0</v>
      </c>
      <c r="R209" s="5">
        <f t="shared" si="5"/>
        <v>0</v>
      </c>
      <c r="S209" s="2">
        <v>112564.75</v>
      </c>
      <c r="T209" s="2">
        <v>675917.63</v>
      </c>
      <c r="U209" s="12">
        <f t="shared" si="12"/>
        <v>751678.00729962438</v>
      </c>
      <c r="V209">
        <f t="shared" si="13"/>
        <v>-75760.377299624379</v>
      </c>
    </row>
    <row r="210" spans="1:22" ht="14.25">
      <c r="A210" s="2" t="s">
        <v>74</v>
      </c>
      <c r="B210" s="3">
        <v>45658</v>
      </c>
      <c r="C210" s="2" t="s">
        <v>15</v>
      </c>
      <c r="D210" s="2" t="s">
        <v>18</v>
      </c>
      <c r="E210" s="2">
        <v>63457.19</v>
      </c>
      <c r="F210" s="2">
        <v>10125</v>
      </c>
      <c r="G210" s="2">
        <v>9.7000000000000003E-2</v>
      </c>
      <c r="H210" s="2">
        <v>24</v>
      </c>
      <c r="I210" s="2">
        <v>87</v>
      </c>
      <c r="J210" s="2">
        <v>3.84</v>
      </c>
      <c r="K210" s="2">
        <v>1</v>
      </c>
      <c r="L210" s="2">
        <v>3.7</v>
      </c>
      <c r="M210" s="5">
        <f t="shared" si="0"/>
        <v>0</v>
      </c>
      <c r="N210" s="5">
        <f t="shared" si="1"/>
        <v>0</v>
      </c>
      <c r="O210" s="5">
        <f t="shared" si="2"/>
        <v>1</v>
      </c>
      <c r="P210" s="5">
        <f t="shared" si="3"/>
        <v>0</v>
      </c>
      <c r="Q210" s="5">
        <f t="shared" si="4"/>
        <v>1</v>
      </c>
      <c r="R210" s="5">
        <f t="shared" si="5"/>
        <v>0</v>
      </c>
      <c r="S210" s="2">
        <v>200575.34</v>
      </c>
      <c r="T210" s="2">
        <v>810446.53</v>
      </c>
      <c r="U210" s="12">
        <f t="shared" si="12"/>
        <v>810254.19294584752</v>
      </c>
      <c r="V210">
        <f t="shared" si="13"/>
        <v>192.33705415250733</v>
      </c>
    </row>
    <row r="211" spans="1:22" ht="14.25">
      <c r="A211" s="2" t="s">
        <v>74</v>
      </c>
      <c r="B211" s="3">
        <v>45689</v>
      </c>
      <c r="C211" s="2" t="s">
        <v>15</v>
      </c>
      <c r="D211" s="2" t="s">
        <v>18</v>
      </c>
      <c r="E211" s="2">
        <v>62949.7</v>
      </c>
      <c r="F211" s="2">
        <v>9458</v>
      </c>
      <c r="G211" s="2">
        <v>0.17100000000000001</v>
      </c>
      <c r="H211" s="2">
        <v>19</v>
      </c>
      <c r="I211" s="2">
        <v>84.9</v>
      </c>
      <c r="J211" s="2">
        <v>5.09</v>
      </c>
      <c r="K211" s="2">
        <v>0</v>
      </c>
      <c r="L211" s="2">
        <v>3.3</v>
      </c>
      <c r="M211" s="5">
        <f t="shared" si="0"/>
        <v>0</v>
      </c>
      <c r="N211" s="5">
        <f t="shared" si="1"/>
        <v>0</v>
      </c>
      <c r="O211" s="5">
        <f t="shared" si="2"/>
        <v>1</v>
      </c>
      <c r="P211" s="5">
        <f t="shared" si="3"/>
        <v>0</v>
      </c>
      <c r="Q211" s="5">
        <f t="shared" si="4"/>
        <v>1</v>
      </c>
      <c r="R211" s="5">
        <f t="shared" si="5"/>
        <v>0</v>
      </c>
      <c r="S211" s="2">
        <v>159074.14000000001</v>
      </c>
      <c r="T211" s="2">
        <v>691288.19</v>
      </c>
      <c r="U211" s="12">
        <f t="shared" si="12"/>
        <v>739923.58726998232</v>
      </c>
      <c r="V211">
        <f t="shared" si="13"/>
        <v>-48635.397269982379</v>
      </c>
    </row>
    <row r="212" spans="1:22" ht="14.25">
      <c r="A212" s="2" t="s">
        <v>74</v>
      </c>
      <c r="B212" s="3">
        <v>45717</v>
      </c>
      <c r="C212" s="2" t="s">
        <v>15</v>
      </c>
      <c r="D212" s="2" t="s">
        <v>18</v>
      </c>
      <c r="E212" s="2">
        <v>107970.19</v>
      </c>
      <c r="F212" s="2">
        <v>12870</v>
      </c>
      <c r="G212" s="2">
        <v>2.9000000000000001E-2</v>
      </c>
      <c r="H212" s="2">
        <v>31</v>
      </c>
      <c r="I212" s="2">
        <v>91.7</v>
      </c>
      <c r="J212" s="2">
        <v>3.82</v>
      </c>
      <c r="K212" s="2">
        <v>1</v>
      </c>
      <c r="L212" s="2">
        <v>3.7</v>
      </c>
      <c r="M212" s="5">
        <f t="shared" si="0"/>
        <v>0</v>
      </c>
      <c r="N212" s="5">
        <f t="shared" si="1"/>
        <v>0</v>
      </c>
      <c r="O212" s="5">
        <f t="shared" si="2"/>
        <v>1</v>
      </c>
      <c r="P212" s="5">
        <f t="shared" si="3"/>
        <v>0</v>
      </c>
      <c r="Q212" s="5">
        <f t="shared" si="4"/>
        <v>1</v>
      </c>
      <c r="R212" s="5">
        <f t="shared" si="5"/>
        <v>0</v>
      </c>
      <c r="S212" s="2">
        <v>184540.31</v>
      </c>
      <c r="T212" s="2">
        <v>946833.54</v>
      </c>
      <c r="U212" s="12">
        <f t="shared" si="12"/>
        <v>980974.07345498342</v>
      </c>
      <c r="V212">
        <f t="shared" si="13"/>
        <v>-34140.533454983379</v>
      </c>
    </row>
    <row r="213" spans="1:22" ht="14.25">
      <c r="A213" s="2" t="s">
        <v>74</v>
      </c>
      <c r="B213" s="3">
        <v>45748</v>
      </c>
      <c r="C213" s="2" t="s">
        <v>15</v>
      </c>
      <c r="D213" s="2" t="s">
        <v>18</v>
      </c>
      <c r="E213" s="2">
        <v>49405.75</v>
      </c>
      <c r="F213" s="2">
        <v>9752</v>
      </c>
      <c r="G213" s="2">
        <v>9.2999999999999999E-2</v>
      </c>
      <c r="H213" s="2">
        <v>21</v>
      </c>
      <c r="I213" s="2">
        <v>87</v>
      </c>
      <c r="J213" s="2">
        <v>12.28</v>
      </c>
      <c r="K213" s="2">
        <v>0</v>
      </c>
      <c r="L213" s="2">
        <v>4.0999999999999996</v>
      </c>
      <c r="M213" s="5">
        <f t="shared" si="0"/>
        <v>0</v>
      </c>
      <c r="N213" s="5">
        <f t="shared" si="1"/>
        <v>0</v>
      </c>
      <c r="O213" s="5">
        <f t="shared" si="2"/>
        <v>1</v>
      </c>
      <c r="P213" s="5">
        <f t="shared" si="3"/>
        <v>0</v>
      </c>
      <c r="Q213" s="5">
        <f t="shared" si="4"/>
        <v>1</v>
      </c>
      <c r="R213" s="5">
        <f t="shared" si="5"/>
        <v>0</v>
      </c>
      <c r="S213" s="2">
        <v>150113.60999999999</v>
      </c>
      <c r="T213" s="2">
        <v>761963.23</v>
      </c>
      <c r="U213" s="12">
        <f t="shared" si="12"/>
        <v>733525.19625827903</v>
      </c>
      <c r="V213">
        <f t="shared" si="13"/>
        <v>28438.033741720952</v>
      </c>
    </row>
    <row r="214" spans="1:22" ht="14.25">
      <c r="A214" s="2" t="s">
        <v>75</v>
      </c>
      <c r="B214" s="3">
        <v>45658</v>
      </c>
      <c r="C214" s="2" t="s">
        <v>27</v>
      </c>
      <c r="D214" s="2" t="s">
        <v>16</v>
      </c>
      <c r="E214" s="2">
        <v>50887.46</v>
      </c>
      <c r="F214" s="2">
        <v>9505</v>
      </c>
      <c r="G214" s="2">
        <v>9.0999999999999998E-2</v>
      </c>
      <c r="H214" s="2">
        <v>25</v>
      </c>
      <c r="I214" s="2">
        <v>89.7</v>
      </c>
      <c r="J214" s="2">
        <v>2.8</v>
      </c>
      <c r="K214" s="2">
        <v>0</v>
      </c>
      <c r="L214" s="2">
        <v>4.3</v>
      </c>
      <c r="M214" s="5">
        <f t="shared" si="0"/>
        <v>0</v>
      </c>
      <c r="N214" s="5">
        <f t="shared" si="1"/>
        <v>0</v>
      </c>
      <c r="O214" s="5">
        <f t="shared" si="2"/>
        <v>0</v>
      </c>
      <c r="P214" s="5">
        <f t="shared" si="3"/>
        <v>0</v>
      </c>
      <c r="Q214" s="5">
        <f t="shared" si="4"/>
        <v>0</v>
      </c>
      <c r="R214" s="5">
        <f t="shared" si="5"/>
        <v>0</v>
      </c>
      <c r="S214" s="2">
        <v>138419.43</v>
      </c>
      <c r="T214" s="2">
        <v>812152.6</v>
      </c>
      <c r="U214" s="12">
        <f t="shared" si="12"/>
        <v>791117.28509428038</v>
      </c>
      <c r="V214">
        <f t="shared" si="13"/>
        <v>21035.314905719599</v>
      </c>
    </row>
    <row r="215" spans="1:22" ht="14.25">
      <c r="A215" s="2" t="s">
        <v>75</v>
      </c>
      <c r="B215" s="3">
        <v>45689</v>
      </c>
      <c r="C215" s="2" t="s">
        <v>27</v>
      </c>
      <c r="D215" s="2" t="s">
        <v>16</v>
      </c>
      <c r="E215" s="2">
        <v>41819.449999999997</v>
      </c>
      <c r="F215" s="2">
        <v>9412</v>
      </c>
      <c r="G215" s="2">
        <v>0.15</v>
      </c>
      <c r="H215" s="2">
        <v>22</v>
      </c>
      <c r="I215" s="2">
        <v>91</v>
      </c>
      <c r="J215" s="2">
        <v>3.67</v>
      </c>
      <c r="K215" s="2">
        <v>0</v>
      </c>
      <c r="L215" s="2">
        <v>4.2</v>
      </c>
      <c r="M215" s="5">
        <f t="shared" si="0"/>
        <v>0</v>
      </c>
      <c r="N215" s="5">
        <f t="shared" si="1"/>
        <v>0</v>
      </c>
      <c r="O215" s="5">
        <f t="shared" si="2"/>
        <v>0</v>
      </c>
      <c r="P215" s="5">
        <f t="shared" si="3"/>
        <v>0</v>
      </c>
      <c r="Q215" s="5">
        <f t="shared" si="4"/>
        <v>0</v>
      </c>
      <c r="R215" s="5">
        <f t="shared" si="5"/>
        <v>0</v>
      </c>
      <c r="S215" s="2">
        <v>140054.5</v>
      </c>
      <c r="T215" s="2">
        <v>804975.5</v>
      </c>
      <c r="U215" s="12">
        <f t="shared" si="12"/>
        <v>764383.60540040955</v>
      </c>
      <c r="V215">
        <f t="shared" si="13"/>
        <v>40591.894599590451</v>
      </c>
    </row>
    <row r="216" spans="1:22" ht="14.25">
      <c r="A216" s="2" t="s">
        <v>75</v>
      </c>
      <c r="B216" s="3">
        <v>45717</v>
      </c>
      <c r="C216" s="2" t="s">
        <v>27</v>
      </c>
      <c r="D216" s="2" t="s">
        <v>16</v>
      </c>
      <c r="E216" s="2">
        <v>35296.54</v>
      </c>
      <c r="F216" s="2">
        <v>9644</v>
      </c>
      <c r="G216" s="2">
        <v>0</v>
      </c>
      <c r="H216" s="2">
        <v>22</v>
      </c>
      <c r="I216" s="2">
        <v>88</v>
      </c>
      <c r="J216" s="2">
        <v>2.81</v>
      </c>
      <c r="K216" s="2">
        <v>0</v>
      </c>
      <c r="L216" s="2">
        <v>4.7</v>
      </c>
      <c r="M216" s="5">
        <f t="shared" si="0"/>
        <v>0</v>
      </c>
      <c r="N216" s="5">
        <f t="shared" si="1"/>
        <v>0</v>
      </c>
      <c r="O216" s="5">
        <f t="shared" si="2"/>
        <v>0</v>
      </c>
      <c r="P216" s="5">
        <f t="shared" si="3"/>
        <v>0</v>
      </c>
      <c r="Q216" s="5">
        <f t="shared" si="4"/>
        <v>0</v>
      </c>
      <c r="R216" s="5">
        <f t="shared" si="5"/>
        <v>0</v>
      </c>
      <c r="S216" s="2">
        <v>137788.51</v>
      </c>
      <c r="T216" s="2">
        <v>752321.72</v>
      </c>
      <c r="U216" s="12">
        <f t="shared" si="12"/>
        <v>769044.69286299776</v>
      </c>
      <c r="V216">
        <f t="shared" si="13"/>
        <v>-16722.972862997791</v>
      </c>
    </row>
    <row r="217" spans="1:22" ht="14.25">
      <c r="A217" s="2" t="s">
        <v>75</v>
      </c>
      <c r="B217" s="3">
        <v>45748</v>
      </c>
      <c r="C217" s="2" t="s">
        <v>27</v>
      </c>
      <c r="D217" s="2" t="s">
        <v>16</v>
      </c>
      <c r="E217" s="2">
        <v>47391.09</v>
      </c>
      <c r="F217" s="2">
        <v>11224</v>
      </c>
      <c r="G217" s="2">
        <v>0.14699999999999999</v>
      </c>
      <c r="H217" s="2">
        <v>25</v>
      </c>
      <c r="I217" s="2">
        <v>88.4</v>
      </c>
      <c r="J217" s="2">
        <v>2.44</v>
      </c>
      <c r="K217" s="2">
        <v>0</v>
      </c>
      <c r="L217" s="2">
        <v>4.9000000000000004</v>
      </c>
      <c r="M217" s="5">
        <f t="shared" si="0"/>
        <v>0</v>
      </c>
      <c r="N217" s="5">
        <f t="shared" si="1"/>
        <v>0</v>
      </c>
      <c r="O217" s="5">
        <f t="shared" si="2"/>
        <v>0</v>
      </c>
      <c r="P217" s="5">
        <f t="shared" si="3"/>
        <v>0</v>
      </c>
      <c r="Q217" s="5">
        <f t="shared" si="4"/>
        <v>0</v>
      </c>
      <c r="R217" s="5">
        <f t="shared" si="5"/>
        <v>0</v>
      </c>
      <c r="S217" s="2">
        <v>141090.26</v>
      </c>
      <c r="T217" s="2">
        <v>836908.24</v>
      </c>
      <c r="U217" s="12">
        <f t="shared" si="12"/>
        <v>836330.75223560631</v>
      </c>
      <c r="V217">
        <f t="shared" si="13"/>
        <v>577.48776439367794</v>
      </c>
    </row>
    <row r="218" spans="1:22" ht="14.25">
      <c r="A218" s="2" t="s">
        <v>76</v>
      </c>
      <c r="B218" s="3">
        <v>45658</v>
      </c>
      <c r="C218" s="2" t="s">
        <v>20</v>
      </c>
      <c r="D218" s="2" t="s">
        <v>21</v>
      </c>
      <c r="E218" s="2">
        <v>69180.539999999994</v>
      </c>
      <c r="F218" s="2">
        <v>5394</v>
      </c>
      <c r="G218" s="2">
        <v>0.126</v>
      </c>
      <c r="H218" s="2">
        <v>12</v>
      </c>
      <c r="I218" s="2">
        <v>82.9</v>
      </c>
      <c r="J218" s="2">
        <v>3.27</v>
      </c>
      <c r="K218" s="2">
        <v>0</v>
      </c>
      <c r="L218" s="2">
        <v>3.3</v>
      </c>
      <c r="M218" s="5">
        <f t="shared" si="0"/>
        <v>1</v>
      </c>
      <c r="N218" s="5">
        <f t="shared" si="1"/>
        <v>0</v>
      </c>
      <c r="O218" s="5">
        <f t="shared" si="2"/>
        <v>0</v>
      </c>
      <c r="P218" s="5">
        <f t="shared" si="3"/>
        <v>0</v>
      </c>
      <c r="Q218" s="5">
        <f t="shared" si="4"/>
        <v>0</v>
      </c>
      <c r="R218" s="5">
        <f t="shared" si="5"/>
        <v>1</v>
      </c>
      <c r="S218" s="2">
        <v>117773.79</v>
      </c>
      <c r="T218" s="2">
        <v>674289.1</v>
      </c>
      <c r="U218" s="12">
        <f t="shared" si="12"/>
        <v>648222.79517714563</v>
      </c>
      <c r="V218">
        <f t="shared" si="13"/>
        <v>26066.304822854348</v>
      </c>
    </row>
    <row r="219" spans="1:22" ht="14.25">
      <c r="A219" s="2" t="s">
        <v>76</v>
      </c>
      <c r="B219" s="3">
        <v>45689</v>
      </c>
      <c r="C219" s="2" t="s">
        <v>20</v>
      </c>
      <c r="D219" s="2" t="s">
        <v>21</v>
      </c>
      <c r="E219" s="2">
        <v>33987.33</v>
      </c>
      <c r="F219" s="2">
        <v>5014</v>
      </c>
      <c r="G219" s="2">
        <v>0.246</v>
      </c>
      <c r="H219" s="2">
        <v>17</v>
      </c>
      <c r="I219" s="2">
        <v>94.3</v>
      </c>
      <c r="J219" s="2">
        <v>10.34</v>
      </c>
      <c r="K219" s="2">
        <v>0</v>
      </c>
      <c r="L219" s="2">
        <v>3.9</v>
      </c>
      <c r="M219" s="5">
        <f t="shared" si="0"/>
        <v>1</v>
      </c>
      <c r="N219" s="5">
        <f t="shared" si="1"/>
        <v>0</v>
      </c>
      <c r="O219" s="5">
        <f t="shared" si="2"/>
        <v>0</v>
      </c>
      <c r="P219" s="5">
        <f t="shared" si="3"/>
        <v>0</v>
      </c>
      <c r="Q219" s="5">
        <f t="shared" si="4"/>
        <v>0</v>
      </c>
      <c r="R219" s="5">
        <f t="shared" si="5"/>
        <v>1</v>
      </c>
      <c r="S219" s="2">
        <v>101032.52</v>
      </c>
      <c r="T219" s="2">
        <v>622892.42000000004</v>
      </c>
      <c r="U219" s="12">
        <f t="shared" si="12"/>
        <v>625954.04271970643</v>
      </c>
      <c r="V219">
        <f t="shared" si="13"/>
        <v>-3061.6227197063854</v>
      </c>
    </row>
    <row r="220" spans="1:22" ht="14.25">
      <c r="A220" s="2" t="s">
        <v>76</v>
      </c>
      <c r="B220" s="3">
        <v>45717</v>
      </c>
      <c r="C220" s="2" t="s">
        <v>20</v>
      </c>
      <c r="D220" s="2" t="s">
        <v>21</v>
      </c>
      <c r="E220" s="2">
        <v>58785.33</v>
      </c>
      <c r="F220" s="2">
        <v>4467</v>
      </c>
      <c r="G220" s="2">
        <v>0.22900000000000001</v>
      </c>
      <c r="H220" s="2">
        <v>14</v>
      </c>
      <c r="I220" s="2">
        <v>90.7</v>
      </c>
      <c r="J220" s="2">
        <v>1.92</v>
      </c>
      <c r="K220" s="2">
        <v>0</v>
      </c>
      <c r="L220" s="2">
        <v>3.7</v>
      </c>
      <c r="M220" s="5">
        <f t="shared" si="0"/>
        <v>1</v>
      </c>
      <c r="N220" s="5">
        <f t="shared" si="1"/>
        <v>0</v>
      </c>
      <c r="O220" s="5">
        <f t="shared" si="2"/>
        <v>0</v>
      </c>
      <c r="P220" s="5">
        <f t="shared" si="3"/>
        <v>0</v>
      </c>
      <c r="Q220" s="5">
        <f t="shared" si="4"/>
        <v>0</v>
      </c>
      <c r="R220" s="5">
        <f t="shared" si="5"/>
        <v>1</v>
      </c>
      <c r="S220" s="2">
        <v>69464.59</v>
      </c>
      <c r="T220" s="2">
        <v>673348.56</v>
      </c>
      <c r="U220" s="12">
        <f t="shared" si="12"/>
        <v>646603.90624949231</v>
      </c>
      <c r="V220">
        <f t="shared" si="13"/>
        <v>26744.653750507743</v>
      </c>
    </row>
    <row r="221" spans="1:22" ht="14.25">
      <c r="A221" s="2" t="s">
        <v>76</v>
      </c>
      <c r="B221" s="3">
        <v>45748</v>
      </c>
      <c r="C221" s="2" t="s">
        <v>20</v>
      </c>
      <c r="D221" s="2" t="s">
        <v>21</v>
      </c>
      <c r="E221" s="2">
        <v>16451.849999999999</v>
      </c>
      <c r="F221" s="2">
        <v>4678</v>
      </c>
      <c r="G221" s="2">
        <v>0.13300000000000001</v>
      </c>
      <c r="H221" s="2">
        <v>11</v>
      </c>
      <c r="I221" s="2">
        <v>95.9</v>
      </c>
      <c r="J221" s="2">
        <v>3.1</v>
      </c>
      <c r="K221" s="2">
        <v>0</v>
      </c>
      <c r="L221" s="2">
        <v>3.9</v>
      </c>
      <c r="M221" s="5">
        <f t="shared" si="0"/>
        <v>1</v>
      </c>
      <c r="N221" s="5">
        <f t="shared" si="1"/>
        <v>0</v>
      </c>
      <c r="O221" s="5">
        <f t="shared" si="2"/>
        <v>0</v>
      </c>
      <c r="P221" s="5">
        <f t="shared" si="3"/>
        <v>0</v>
      </c>
      <c r="Q221" s="5">
        <f t="shared" si="4"/>
        <v>0</v>
      </c>
      <c r="R221" s="5">
        <f t="shared" si="5"/>
        <v>1</v>
      </c>
      <c r="S221" s="2">
        <v>102213.26</v>
      </c>
      <c r="T221" s="2">
        <v>606278.30000000005</v>
      </c>
      <c r="U221" s="12">
        <f t="shared" si="12"/>
        <v>608953.92295308027</v>
      </c>
      <c r="V221">
        <f t="shared" si="13"/>
        <v>-2675.6229530802229</v>
      </c>
    </row>
    <row r="222" spans="1:22" ht="14.25">
      <c r="A222" s="2" t="s">
        <v>77</v>
      </c>
      <c r="B222" s="3">
        <v>45658</v>
      </c>
      <c r="C222" s="2" t="s">
        <v>15</v>
      </c>
      <c r="D222" s="2" t="s">
        <v>18</v>
      </c>
      <c r="E222" s="2">
        <v>53367.73</v>
      </c>
      <c r="F222" s="2">
        <v>7291</v>
      </c>
      <c r="G222" s="2">
        <v>0.14599999999999999</v>
      </c>
      <c r="H222" s="2">
        <v>18</v>
      </c>
      <c r="I222" s="2">
        <v>90.6</v>
      </c>
      <c r="J222" s="2">
        <v>6.34</v>
      </c>
      <c r="K222" s="2">
        <v>1</v>
      </c>
      <c r="L222" s="2">
        <v>3.8</v>
      </c>
      <c r="M222" s="5">
        <f t="shared" si="0"/>
        <v>0</v>
      </c>
      <c r="N222" s="5">
        <f t="shared" si="1"/>
        <v>0</v>
      </c>
      <c r="O222" s="5">
        <f t="shared" si="2"/>
        <v>1</v>
      </c>
      <c r="P222" s="5">
        <f t="shared" si="3"/>
        <v>0</v>
      </c>
      <c r="Q222" s="5">
        <f t="shared" si="4"/>
        <v>1</v>
      </c>
      <c r="R222" s="5">
        <f t="shared" si="5"/>
        <v>0</v>
      </c>
      <c r="S222" s="2">
        <v>85906.54</v>
      </c>
      <c r="T222" s="2">
        <v>712219.81</v>
      </c>
      <c r="U222" s="12">
        <f t="shared" si="12"/>
        <v>701184.21581800329</v>
      </c>
      <c r="V222">
        <f t="shared" si="13"/>
        <v>11035.59418199677</v>
      </c>
    </row>
    <row r="223" spans="1:22" ht="14.25">
      <c r="A223" s="2" t="s">
        <v>77</v>
      </c>
      <c r="B223" s="3">
        <v>45689</v>
      </c>
      <c r="C223" s="2" t="s">
        <v>15</v>
      </c>
      <c r="D223" s="2" t="s">
        <v>18</v>
      </c>
      <c r="E223" s="2">
        <v>27194.639999999999</v>
      </c>
      <c r="F223" s="2">
        <v>7404</v>
      </c>
      <c r="G223" s="2">
        <v>8.7999999999999995E-2</v>
      </c>
      <c r="H223" s="2">
        <v>18</v>
      </c>
      <c r="I223" s="2">
        <v>90.2</v>
      </c>
      <c r="J223" s="2">
        <v>1.2</v>
      </c>
      <c r="K223" s="2">
        <v>0</v>
      </c>
      <c r="L223" s="2">
        <v>3.4</v>
      </c>
      <c r="M223" s="5">
        <f t="shared" si="0"/>
        <v>0</v>
      </c>
      <c r="N223" s="5">
        <f t="shared" si="1"/>
        <v>0</v>
      </c>
      <c r="O223" s="5">
        <f t="shared" si="2"/>
        <v>1</v>
      </c>
      <c r="P223" s="5">
        <f t="shared" si="3"/>
        <v>0</v>
      </c>
      <c r="Q223" s="5">
        <f t="shared" si="4"/>
        <v>1</v>
      </c>
      <c r="R223" s="5">
        <f t="shared" si="5"/>
        <v>0</v>
      </c>
      <c r="S223" s="2">
        <v>132684.18</v>
      </c>
      <c r="T223" s="2">
        <v>672670.54</v>
      </c>
      <c r="U223" s="12">
        <f t="shared" si="12"/>
        <v>671283.65988912294</v>
      </c>
      <c r="V223">
        <f t="shared" si="13"/>
        <v>1386.8801108771004</v>
      </c>
    </row>
    <row r="224" spans="1:22" ht="14.25">
      <c r="A224" s="2" t="s">
        <v>77</v>
      </c>
      <c r="B224" s="3">
        <v>45717</v>
      </c>
      <c r="C224" s="2" t="s">
        <v>15</v>
      </c>
      <c r="D224" s="2" t="s">
        <v>18</v>
      </c>
      <c r="E224" s="2">
        <v>66962.740000000005</v>
      </c>
      <c r="F224" s="2">
        <v>7880</v>
      </c>
      <c r="G224" s="2">
        <v>0.11600000000000001</v>
      </c>
      <c r="H224" s="2">
        <v>19</v>
      </c>
      <c r="I224" s="2">
        <v>90.4</v>
      </c>
      <c r="J224" s="2">
        <v>4.5</v>
      </c>
      <c r="K224" s="2">
        <v>0</v>
      </c>
      <c r="L224" s="2">
        <v>3.3</v>
      </c>
      <c r="M224" s="5">
        <f t="shared" si="0"/>
        <v>0</v>
      </c>
      <c r="N224" s="5">
        <f t="shared" si="1"/>
        <v>0</v>
      </c>
      <c r="O224" s="5">
        <f t="shared" si="2"/>
        <v>1</v>
      </c>
      <c r="P224" s="5">
        <f t="shared" si="3"/>
        <v>0</v>
      </c>
      <c r="Q224" s="5">
        <f t="shared" si="4"/>
        <v>1</v>
      </c>
      <c r="R224" s="5">
        <f t="shared" si="5"/>
        <v>0</v>
      </c>
      <c r="S224" s="2">
        <v>128654.46</v>
      </c>
      <c r="T224" s="2">
        <v>732667.92</v>
      </c>
      <c r="U224" s="12">
        <f t="shared" si="12"/>
        <v>722781.57670510805</v>
      </c>
      <c r="V224">
        <f t="shared" si="13"/>
        <v>9886.3432948919944</v>
      </c>
    </row>
    <row r="225" spans="1:22" ht="14.25">
      <c r="A225" s="2" t="s">
        <v>77</v>
      </c>
      <c r="B225" s="3">
        <v>45748</v>
      </c>
      <c r="C225" s="2" t="s">
        <v>15</v>
      </c>
      <c r="D225" s="2" t="s">
        <v>18</v>
      </c>
      <c r="E225" s="2">
        <v>73540.990000000005</v>
      </c>
      <c r="F225" s="2">
        <v>8773</v>
      </c>
      <c r="G225" s="2">
        <v>3.5000000000000003E-2</v>
      </c>
      <c r="H225" s="2">
        <v>21</v>
      </c>
      <c r="I225" s="2">
        <v>84.4</v>
      </c>
      <c r="J225" s="2">
        <v>6.68</v>
      </c>
      <c r="K225" s="2">
        <v>0</v>
      </c>
      <c r="L225" s="2">
        <v>3.6</v>
      </c>
      <c r="M225" s="5">
        <f t="shared" si="0"/>
        <v>0</v>
      </c>
      <c r="N225" s="5">
        <f t="shared" si="1"/>
        <v>0</v>
      </c>
      <c r="O225" s="5">
        <f t="shared" si="2"/>
        <v>1</v>
      </c>
      <c r="P225" s="5">
        <f t="shared" si="3"/>
        <v>0</v>
      </c>
      <c r="Q225" s="5">
        <f t="shared" si="4"/>
        <v>1</v>
      </c>
      <c r="R225" s="5">
        <f t="shared" si="5"/>
        <v>0</v>
      </c>
      <c r="S225" s="2">
        <v>108794.85</v>
      </c>
      <c r="T225" s="2">
        <v>723531.4</v>
      </c>
      <c r="U225" s="12">
        <f t="shared" si="12"/>
        <v>743394.00559629721</v>
      </c>
      <c r="V225">
        <f t="shared" si="13"/>
        <v>-19862.605596297188</v>
      </c>
    </row>
    <row r="226" spans="1:22" ht="14.25">
      <c r="A226" s="2" t="s">
        <v>78</v>
      </c>
      <c r="B226" s="3">
        <v>45658</v>
      </c>
      <c r="C226" s="2" t="s">
        <v>15</v>
      </c>
      <c r="D226" s="2" t="s">
        <v>28</v>
      </c>
      <c r="E226" s="2">
        <v>68212.289999999994</v>
      </c>
      <c r="F226" s="2">
        <v>4713</v>
      </c>
      <c r="G226" s="2">
        <v>0.19800000000000001</v>
      </c>
      <c r="H226" s="2">
        <v>15</v>
      </c>
      <c r="I226" s="2">
        <v>82.6</v>
      </c>
      <c r="J226" s="2">
        <v>4.07</v>
      </c>
      <c r="K226" s="2">
        <v>1</v>
      </c>
      <c r="L226" s="2">
        <v>3</v>
      </c>
      <c r="M226" s="5">
        <f t="shared" si="0"/>
        <v>0</v>
      </c>
      <c r="N226" s="5">
        <f t="shared" si="1"/>
        <v>0</v>
      </c>
      <c r="O226" s="5">
        <f t="shared" si="2"/>
        <v>1</v>
      </c>
      <c r="P226" s="5">
        <f t="shared" si="3"/>
        <v>1</v>
      </c>
      <c r="Q226" s="5">
        <f t="shared" si="4"/>
        <v>0</v>
      </c>
      <c r="R226" s="5">
        <f t="shared" si="5"/>
        <v>0</v>
      </c>
      <c r="S226" s="2">
        <v>90468.96</v>
      </c>
      <c r="T226" s="2">
        <v>641564.6</v>
      </c>
      <c r="U226" s="12">
        <f t="shared" si="12"/>
        <v>621915.3684987867</v>
      </c>
      <c r="V226">
        <f t="shared" si="13"/>
        <v>19649.231501213275</v>
      </c>
    </row>
    <row r="227" spans="1:22" ht="14.25">
      <c r="A227" s="2" t="s">
        <v>78</v>
      </c>
      <c r="B227" s="3">
        <v>45689</v>
      </c>
      <c r="C227" s="2" t="s">
        <v>15</v>
      </c>
      <c r="D227" s="2" t="s">
        <v>28</v>
      </c>
      <c r="E227" s="2">
        <v>57225.98</v>
      </c>
      <c r="F227" s="2">
        <v>2842</v>
      </c>
      <c r="G227" s="2">
        <v>0.112</v>
      </c>
      <c r="H227" s="2">
        <v>10</v>
      </c>
      <c r="I227" s="2">
        <v>79.5</v>
      </c>
      <c r="J227" s="2">
        <v>5.45</v>
      </c>
      <c r="K227" s="2">
        <v>0</v>
      </c>
      <c r="L227" s="2">
        <v>3.4</v>
      </c>
      <c r="M227" s="5">
        <f t="shared" si="0"/>
        <v>0</v>
      </c>
      <c r="N227" s="5">
        <f t="shared" si="1"/>
        <v>0</v>
      </c>
      <c r="O227" s="5">
        <f t="shared" si="2"/>
        <v>1</v>
      </c>
      <c r="P227" s="5">
        <f t="shared" si="3"/>
        <v>1</v>
      </c>
      <c r="Q227" s="5">
        <f t="shared" si="4"/>
        <v>0</v>
      </c>
      <c r="R227" s="5">
        <f t="shared" si="5"/>
        <v>0</v>
      </c>
      <c r="S227" s="2">
        <v>97917.45</v>
      </c>
      <c r="T227" s="2">
        <v>536545.49</v>
      </c>
      <c r="U227" s="12">
        <f t="shared" si="12"/>
        <v>519090.66992560221</v>
      </c>
      <c r="V227">
        <f t="shared" si="13"/>
        <v>17454.82007439778</v>
      </c>
    </row>
    <row r="228" spans="1:22" ht="14.25">
      <c r="A228" s="2" t="s">
        <v>78</v>
      </c>
      <c r="B228" s="3">
        <v>45717</v>
      </c>
      <c r="C228" s="2" t="s">
        <v>15</v>
      </c>
      <c r="D228" s="2" t="s">
        <v>28</v>
      </c>
      <c r="E228" s="2">
        <v>42932.02</v>
      </c>
      <c r="F228" s="2">
        <v>3872</v>
      </c>
      <c r="G228" s="2">
        <v>0.17100000000000001</v>
      </c>
      <c r="H228" s="2">
        <v>12</v>
      </c>
      <c r="I228" s="2">
        <v>83.2</v>
      </c>
      <c r="J228" s="2">
        <v>15.58</v>
      </c>
      <c r="K228" s="2">
        <v>0</v>
      </c>
      <c r="L228" s="2">
        <v>3.3</v>
      </c>
      <c r="M228" s="5">
        <f t="shared" si="0"/>
        <v>0</v>
      </c>
      <c r="N228" s="5">
        <f t="shared" si="1"/>
        <v>0</v>
      </c>
      <c r="O228" s="5">
        <f t="shared" si="2"/>
        <v>1</v>
      </c>
      <c r="P228" s="5">
        <f t="shared" si="3"/>
        <v>1</v>
      </c>
      <c r="Q228" s="5">
        <f t="shared" si="4"/>
        <v>0</v>
      </c>
      <c r="R228" s="5">
        <f t="shared" si="5"/>
        <v>0</v>
      </c>
      <c r="S228" s="2">
        <v>63153.05</v>
      </c>
      <c r="T228" s="2">
        <v>527681.56000000006</v>
      </c>
      <c r="U228" s="12">
        <f t="shared" si="12"/>
        <v>509786.93246662378</v>
      </c>
      <c r="V228">
        <f t="shared" si="13"/>
        <v>17894.627533376275</v>
      </c>
    </row>
    <row r="229" spans="1:22" ht="14.25">
      <c r="A229" s="2" t="s">
        <v>78</v>
      </c>
      <c r="B229" s="3">
        <v>45748</v>
      </c>
      <c r="C229" s="2" t="s">
        <v>15</v>
      </c>
      <c r="D229" s="2" t="s">
        <v>28</v>
      </c>
      <c r="E229" s="2">
        <v>39341.449999999997</v>
      </c>
      <c r="F229" s="2">
        <v>1375</v>
      </c>
      <c r="G229" s="2">
        <v>9.2999999999999999E-2</v>
      </c>
      <c r="H229" s="2">
        <v>5</v>
      </c>
      <c r="I229" s="2">
        <v>95</v>
      </c>
      <c r="J229" s="2">
        <v>5.32</v>
      </c>
      <c r="K229" s="2">
        <v>0</v>
      </c>
      <c r="L229" s="4">
        <v>3.9</v>
      </c>
      <c r="M229" s="5">
        <f t="shared" si="0"/>
        <v>0</v>
      </c>
      <c r="N229" s="5">
        <f t="shared" si="1"/>
        <v>0</v>
      </c>
      <c r="O229" s="5">
        <f t="shared" si="2"/>
        <v>1</v>
      </c>
      <c r="P229" s="5">
        <f t="shared" si="3"/>
        <v>1</v>
      </c>
      <c r="Q229" s="5">
        <f t="shared" si="4"/>
        <v>0</v>
      </c>
      <c r="R229" s="5">
        <f t="shared" si="5"/>
        <v>0</v>
      </c>
      <c r="S229" s="2">
        <v>84334.33</v>
      </c>
      <c r="T229" s="2">
        <v>529598.93999999994</v>
      </c>
      <c r="U229" s="12">
        <f t="shared" si="12"/>
        <v>494757.03784070344</v>
      </c>
      <c r="V229">
        <f t="shared" si="13"/>
        <v>34841.9021592965</v>
      </c>
    </row>
    <row r="230" spans="1:22" ht="14.25">
      <c r="A230" s="2" t="s">
        <v>79</v>
      </c>
      <c r="B230" s="3">
        <v>45658</v>
      </c>
      <c r="C230" s="2" t="s">
        <v>15</v>
      </c>
      <c r="D230" s="2" t="s">
        <v>18</v>
      </c>
      <c r="E230" s="2">
        <v>37324.230000000003</v>
      </c>
      <c r="F230" s="2">
        <v>5957</v>
      </c>
      <c r="G230" s="2">
        <v>7.0999999999999994E-2</v>
      </c>
      <c r="H230" s="2">
        <v>12</v>
      </c>
      <c r="I230" s="2">
        <v>85.9</v>
      </c>
      <c r="J230" s="2">
        <v>0.37</v>
      </c>
      <c r="K230" s="2">
        <v>0</v>
      </c>
      <c r="L230" s="2">
        <v>3.8</v>
      </c>
      <c r="M230" s="5">
        <f t="shared" si="0"/>
        <v>0</v>
      </c>
      <c r="N230" s="5">
        <f t="shared" si="1"/>
        <v>0</v>
      </c>
      <c r="O230" s="5">
        <f t="shared" si="2"/>
        <v>1</v>
      </c>
      <c r="P230" s="5">
        <f t="shared" si="3"/>
        <v>0</v>
      </c>
      <c r="Q230" s="5">
        <f t="shared" si="4"/>
        <v>1</v>
      </c>
      <c r="R230" s="5">
        <f t="shared" si="5"/>
        <v>0</v>
      </c>
      <c r="S230" s="2">
        <v>87342.25</v>
      </c>
      <c r="T230" s="2">
        <v>570963.31000000006</v>
      </c>
      <c r="U230" s="12">
        <f t="shared" si="12"/>
        <v>618324.9139494712</v>
      </c>
      <c r="V230">
        <f t="shared" si="13"/>
        <v>-47361.603949471144</v>
      </c>
    </row>
    <row r="231" spans="1:22" ht="14.25">
      <c r="A231" s="2" t="s">
        <v>79</v>
      </c>
      <c r="B231" s="3">
        <v>45689</v>
      </c>
      <c r="C231" s="2" t="s">
        <v>15</v>
      </c>
      <c r="D231" s="2" t="s">
        <v>18</v>
      </c>
      <c r="E231" s="2">
        <v>113736</v>
      </c>
      <c r="F231" s="2">
        <v>8961</v>
      </c>
      <c r="G231" s="2">
        <v>0.20200000000000001</v>
      </c>
      <c r="H231" s="2">
        <v>24</v>
      </c>
      <c r="I231" s="2">
        <v>86.2</v>
      </c>
      <c r="J231" s="2">
        <v>21.63</v>
      </c>
      <c r="K231" s="2">
        <v>0</v>
      </c>
      <c r="L231" s="2">
        <v>4</v>
      </c>
      <c r="M231" s="5">
        <f t="shared" si="0"/>
        <v>0</v>
      </c>
      <c r="N231" s="5">
        <f t="shared" si="1"/>
        <v>0</v>
      </c>
      <c r="O231" s="5">
        <f t="shared" si="2"/>
        <v>1</v>
      </c>
      <c r="P231" s="5">
        <f t="shared" si="3"/>
        <v>0</v>
      </c>
      <c r="Q231" s="5">
        <f t="shared" si="4"/>
        <v>1</v>
      </c>
      <c r="R231" s="5">
        <f t="shared" si="5"/>
        <v>0</v>
      </c>
      <c r="S231" s="2">
        <v>175282.74</v>
      </c>
      <c r="T231" s="2">
        <v>870937.4</v>
      </c>
      <c r="U231" s="12">
        <f t="shared" si="12"/>
        <v>759919.93947637209</v>
      </c>
      <c r="V231">
        <f t="shared" si="13"/>
        <v>111017.46052362793</v>
      </c>
    </row>
    <row r="232" spans="1:22" ht="14.25">
      <c r="A232" s="2" t="s">
        <v>79</v>
      </c>
      <c r="B232" s="3">
        <v>45717</v>
      </c>
      <c r="C232" s="2" t="s">
        <v>15</v>
      </c>
      <c r="D232" s="2" t="s">
        <v>18</v>
      </c>
      <c r="E232" s="2">
        <v>33173.949999999997</v>
      </c>
      <c r="F232" s="2">
        <v>6545</v>
      </c>
      <c r="G232" s="2">
        <v>0.16900000000000001</v>
      </c>
      <c r="H232" s="2">
        <v>15</v>
      </c>
      <c r="I232" s="2">
        <v>84.4</v>
      </c>
      <c r="J232" s="2">
        <v>2.48</v>
      </c>
      <c r="K232" s="2">
        <v>0</v>
      </c>
      <c r="L232" s="2">
        <v>3.9</v>
      </c>
      <c r="M232" s="5">
        <f t="shared" si="0"/>
        <v>0</v>
      </c>
      <c r="N232" s="5">
        <f t="shared" si="1"/>
        <v>0</v>
      </c>
      <c r="O232" s="5">
        <f t="shared" si="2"/>
        <v>1</v>
      </c>
      <c r="P232" s="5">
        <f t="shared" si="3"/>
        <v>0</v>
      </c>
      <c r="Q232" s="5">
        <f t="shared" si="4"/>
        <v>1</v>
      </c>
      <c r="R232" s="5">
        <f t="shared" si="5"/>
        <v>0</v>
      </c>
      <c r="S232" s="2">
        <v>105669.51</v>
      </c>
      <c r="T232" s="2">
        <v>596969.27</v>
      </c>
      <c r="U232" s="12">
        <f t="shared" si="12"/>
        <v>625263.64639741334</v>
      </c>
      <c r="V232">
        <f t="shared" si="13"/>
        <v>-28294.376397413318</v>
      </c>
    </row>
    <row r="233" spans="1:22" ht="14.25">
      <c r="A233" s="2" t="s">
        <v>79</v>
      </c>
      <c r="B233" s="3">
        <v>45748</v>
      </c>
      <c r="C233" s="2" t="s">
        <v>15</v>
      </c>
      <c r="D233" s="2" t="s">
        <v>18</v>
      </c>
      <c r="E233" s="2">
        <v>25818.080000000002</v>
      </c>
      <c r="F233" s="2">
        <v>5457</v>
      </c>
      <c r="G233" s="2">
        <v>0</v>
      </c>
      <c r="H233" s="2">
        <v>11</v>
      </c>
      <c r="I233" s="2">
        <v>95.4</v>
      </c>
      <c r="J233" s="2">
        <v>3.3650000000000002</v>
      </c>
      <c r="K233" s="2">
        <v>0</v>
      </c>
      <c r="L233" s="2">
        <v>3.7</v>
      </c>
      <c r="M233" s="5">
        <f t="shared" si="0"/>
        <v>0</v>
      </c>
      <c r="N233" s="5">
        <f t="shared" si="1"/>
        <v>0</v>
      </c>
      <c r="O233" s="5">
        <f t="shared" si="2"/>
        <v>1</v>
      </c>
      <c r="P233" s="5">
        <f t="shared" si="3"/>
        <v>0</v>
      </c>
      <c r="Q233" s="5">
        <f t="shared" si="4"/>
        <v>1</v>
      </c>
      <c r="R233" s="5">
        <f t="shared" si="5"/>
        <v>0</v>
      </c>
      <c r="S233" s="2">
        <v>153835.57</v>
      </c>
      <c r="T233" s="2">
        <v>647512.85</v>
      </c>
      <c r="U233" s="12">
        <f t="shared" si="12"/>
        <v>607697.98062072531</v>
      </c>
      <c r="V233">
        <f t="shared" si="13"/>
        <v>39814.869379274664</v>
      </c>
    </row>
    <row r="234" spans="1:22" ht="14.25">
      <c r="A234" s="2" t="s">
        <v>80</v>
      </c>
      <c r="B234" s="3">
        <v>45658</v>
      </c>
      <c r="C234" s="2" t="s">
        <v>27</v>
      </c>
      <c r="D234" s="2" t="s">
        <v>16</v>
      </c>
      <c r="E234" s="2">
        <v>47241.919999999998</v>
      </c>
      <c r="F234" s="2">
        <v>4264</v>
      </c>
      <c r="G234" s="2">
        <v>6.9000000000000006E-2</v>
      </c>
      <c r="H234" s="2">
        <v>13</v>
      </c>
      <c r="I234" s="2">
        <v>95.3</v>
      </c>
      <c r="J234" s="2">
        <v>0.85</v>
      </c>
      <c r="K234" s="2">
        <v>0</v>
      </c>
      <c r="L234" s="2">
        <v>4.3</v>
      </c>
      <c r="M234" s="5">
        <f t="shared" si="0"/>
        <v>0</v>
      </c>
      <c r="N234" s="5">
        <f t="shared" si="1"/>
        <v>0</v>
      </c>
      <c r="O234" s="5">
        <f t="shared" si="2"/>
        <v>0</v>
      </c>
      <c r="P234" s="5">
        <f t="shared" si="3"/>
        <v>0</v>
      </c>
      <c r="Q234" s="5">
        <f t="shared" si="4"/>
        <v>0</v>
      </c>
      <c r="R234" s="5">
        <f t="shared" si="5"/>
        <v>0</v>
      </c>
      <c r="S234" s="2">
        <v>110595.89</v>
      </c>
      <c r="T234" s="2">
        <v>658072.14</v>
      </c>
      <c r="U234" s="12">
        <f t="shared" si="12"/>
        <v>626096.69267229456</v>
      </c>
      <c r="V234">
        <f t="shared" si="13"/>
        <v>31975.447327705449</v>
      </c>
    </row>
    <row r="235" spans="1:22" ht="14.25">
      <c r="A235" s="2" t="s">
        <v>80</v>
      </c>
      <c r="B235" s="3">
        <v>45689</v>
      </c>
      <c r="C235" s="2" t="s">
        <v>27</v>
      </c>
      <c r="D235" s="2" t="s">
        <v>16</v>
      </c>
      <c r="E235" s="2">
        <v>61650.79</v>
      </c>
      <c r="F235" s="2">
        <v>5321</v>
      </c>
      <c r="G235" s="2">
        <v>0.126</v>
      </c>
      <c r="H235" s="2">
        <v>17</v>
      </c>
      <c r="I235" s="2">
        <v>89.2</v>
      </c>
      <c r="J235" s="2">
        <v>2.13</v>
      </c>
      <c r="K235" s="2">
        <v>0</v>
      </c>
      <c r="L235" s="2">
        <v>4</v>
      </c>
      <c r="M235" s="5">
        <f t="shared" si="0"/>
        <v>0</v>
      </c>
      <c r="N235" s="5">
        <f t="shared" si="1"/>
        <v>0</v>
      </c>
      <c r="O235" s="5">
        <f t="shared" si="2"/>
        <v>0</v>
      </c>
      <c r="P235" s="5">
        <f t="shared" si="3"/>
        <v>0</v>
      </c>
      <c r="Q235" s="5">
        <f t="shared" si="4"/>
        <v>0</v>
      </c>
      <c r="R235" s="5">
        <f t="shared" si="5"/>
        <v>0</v>
      </c>
      <c r="S235" s="2">
        <v>128468.7</v>
      </c>
      <c r="T235" s="2">
        <v>723305.11</v>
      </c>
      <c r="U235" s="12">
        <f t="shared" si="12"/>
        <v>657274.39085384866</v>
      </c>
      <c r="V235">
        <f t="shared" si="13"/>
        <v>66030.719146151328</v>
      </c>
    </row>
    <row r="236" spans="1:22" ht="14.25">
      <c r="A236" s="2" t="s">
        <v>80</v>
      </c>
      <c r="B236" s="3">
        <v>45717</v>
      </c>
      <c r="C236" s="2" t="s">
        <v>27</v>
      </c>
      <c r="D236" s="2" t="s">
        <v>16</v>
      </c>
      <c r="E236" s="2">
        <v>62582.71</v>
      </c>
      <c r="F236" s="2">
        <v>5479</v>
      </c>
      <c r="G236" s="2">
        <v>4.8000000000000001E-2</v>
      </c>
      <c r="H236" s="2">
        <v>16</v>
      </c>
      <c r="I236" s="2">
        <v>81.2</v>
      </c>
      <c r="J236" s="2">
        <v>1.46</v>
      </c>
      <c r="K236" s="2">
        <v>0</v>
      </c>
      <c r="L236" s="2">
        <v>4.5</v>
      </c>
      <c r="M236" s="5">
        <f t="shared" si="0"/>
        <v>0</v>
      </c>
      <c r="N236" s="5">
        <f t="shared" si="1"/>
        <v>0</v>
      </c>
      <c r="O236" s="5">
        <f t="shared" si="2"/>
        <v>0</v>
      </c>
      <c r="P236" s="5">
        <f t="shared" si="3"/>
        <v>0</v>
      </c>
      <c r="Q236" s="5">
        <f t="shared" si="4"/>
        <v>0</v>
      </c>
      <c r="R236" s="5">
        <f t="shared" si="5"/>
        <v>0</v>
      </c>
      <c r="S236" s="2">
        <v>134919.16</v>
      </c>
      <c r="T236" s="2">
        <v>640666.53</v>
      </c>
      <c r="U236" s="12">
        <f t="shared" si="12"/>
        <v>646490.21330811339</v>
      </c>
      <c r="V236">
        <f t="shared" si="13"/>
        <v>-5823.6833081133664</v>
      </c>
    </row>
    <row r="237" spans="1:22" ht="14.25">
      <c r="A237" s="2" t="s">
        <v>80</v>
      </c>
      <c r="B237" s="3">
        <v>45748</v>
      </c>
      <c r="C237" s="2" t="s">
        <v>27</v>
      </c>
      <c r="D237" s="2" t="s">
        <v>16</v>
      </c>
      <c r="E237" s="2">
        <v>47944.14</v>
      </c>
      <c r="F237" s="2">
        <v>6169</v>
      </c>
      <c r="G237" s="2">
        <v>0.11899999999999999</v>
      </c>
      <c r="H237" s="2">
        <v>17</v>
      </c>
      <c r="I237" s="2">
        <v>92.2</v>
      </c>
      <c r="J237" s="2">
        <v>3.02</v>
      </c>
      <c r="K237" s="2">
        <v>0</v>
      </c>
      <c r="L237" s="2">
        <v>4.0999999999999996</v>
      </c>
      <c r="M237" s="5">
        <f t="shared" si="0"/>
        <v>0</v>
      </c>
      <c r="N237" s="5">
        <f t="shared" si="1"/>
        <v>0</v>
      </c>
      <c r="O237" s="5">
        <f t="shared" si="2"/>
        <v>0</v>
      </c>
      <c r="P237" s="5">
        <f t="shared" si="3"/>
        <v>0</v>
      </c>
      <c r="Q237" s="5">
        <f t="shared" si="4"/>
        <v>0</v>
      </c>
      <c r="R237" s="5">
        <f t="shared" si="5"/>
        <v>0</v>
      </c>
      <c r="S237" s="2">
        <v>100140.8</v>
      </c>
      <c r="T237" s="2">
        <v>670629.48</v>
      </c>
      <c r="U237" s="12">
        <f t="shared" si="12"/>
        <v>671537.78068724694</v>
      </c>
      <c r="V237">
        <f t="shared" si="13"/>
        <v>-908.30068724695593</v>
      </c>
    </row>
    <row r="238" spans="1:22" ht="14.25">
      <c r="A238" s="2" t="s">
        <v>81</v>
      </c>
      <c r="B238" s="3">
        <v>45658</v>
      </c>
      <c r="C238" s="2" t="s">
        <v>27</v>
      </c>
      <c r="D238" s="2" t="s">
        <v>28</v>
      </c>
      <c r="E238" s="2">
        <v>46495.4</v>
      </c>
      <c r="F238" s="2">
        <v>9908</v>
      </c>
      <c r="G238" s="2">
        <v>0.121</v>
      </c>
      <c r="H238" s="2">
        <v>22</v>
      </c>
      <c r="I238" s="2">
        <v>89.4</v>
      </c>
      <c r="J238" s="2">
        <v>3.22</v>
      </c>
      <c r="K238" s="2">
        <v>0</v>
      </c>
      <c r="L238" s="2">
        <v>3.7</v>
      </c>
      <c r="M238" s="5">
        <f t="shared" si="0"/>
        <v>0</v>
      </c>
      <c r="N238" s="5">
        <f t="shared" si="1"/>
        <v>0</v>
      </c>
      <c r="O238" s="5">
        <f t="shared" si="2"/>
        <v>0</v>
      </c>
      <c r="P238" s="5">
        <f t="shared" si="3"/>
        <v>1</v>
      </c>
      <c r="Q238" s="5">
        <f t="shared" si="4"/>
        <v>0</v>
      </c>
      <c r="R238" s="5">
        <f t="shared" si="5"/>
        <v>0</v>
      </c>
      <c r="S238" s="2">
        <v>115295.05</v>
      </c>
      <c r="T238" s="2">
        <v>721079.35</v>
      </c>
      <c r="U238" s="12">
        <f t="shared" si="12"/>
        <v>808021.7094362668</v>
      </c>
      <c r="V238">
        <f t="shared" si="13"/>
        <v>-86942.359436266823</v>
      </c>
    </row>
    <row r="239" spans="1:22" ht="14.25">
      <c r="A239" s="2" t="s">
        <v>81</v>
      </c>
      <c r="B239" s="3">
        <v>45689</v>
      </c>
      <c r="C239" s="2" t="s">
        <v>27</v>
      </c>
      <c r="D239" s="2" t="s">
        <v>28</v>
      </c>
      <c r="E239" s="2">
        <v>72961.95</v>
      </c>
      <c r="F239" s="2">
        <v>9996</v>
      </c>
      <c r="G239" s="2">
        <v>0.106</v>
      </c>
      <c r="H239" s="2">
        <v>22</v>
      </c>
      <c r="I239" s="2">
        <v>89.1</v>
      </c>
      <c r="J239" s="2">
        <v>15.66</v>
      </c>
      <c r="K239" s="2">
        <v>0</v>
      </c>
      <c r="L239" s="2">
        <v>3.4</v>
      </c>
      <c r="M239" s="5">
        <f t="shared" si="0"/>
        <v>0</v>
      </c>
      <c r="N239" s="5">
        <f t="shared" si="1"/>
        <v>0</v>
      </c>
      <c r="O239" s="5">
        <f t="shared" si="2"/>
        <v>0</v>
      </c>
      <c r="P239" s="5">
        <f t="shared" si="3"/>
        <v>1</v>
      </c>
      <c r="Q239" s="5">
        <f t="shared" si="4"/>
        <v>0</v>
      </c>
      <c r="R239" s="5">
        <f t="shared" si="5"/>
        <v>0</v>
      </c>
      <c r="S239" s="2">
        <v>131510</v>
      </c>
      <c r="T239" s="2">
        <v>810355.02</v>
      </c>
      <c r="U239" s="12">
        <f t="shared" si="12"/>
        <v>795627.01086361939</v>
      </c>
      <c r="V239">
        <f t="shared" si="13"/>
        <v>14728.009136380628</v>
      </c>
    </row>
    <row r="240" spans="1:22" ht="14.25">
      <c r="A240" s="2" t="s">
        <v>81</v>
      </c>
      <c r="B240" s="3">
        <v>45717</v>
      </c>
      <c r="C240" s="2" t="s">
        <v>27</v>
      </c>
      <c r="D240" s="2" t="s">
        <v>28</v>
      </c>
      <c r="E240" s="2">
        <v>59060.05</v>
      </c>
      <c r="F240" s="2">
        <v>9702</v>
      </c>
      <c r="G240" s="2">
        <v>0.20100000000000001</v>
      </c>
      <c r="H240" s="2">
        <v>23</v>
      </c>
      <c r="I240" s="2">
        <v>80.900000000000006</v>
      </c>
      <c r="J240" s="2">
        <v>6.96</v>
      </c>
      <c r="K240" s="2">
        <v>0</v>
      </c>
      <c r="L240" s="2">
        <v>3.2</v>
      </c>
      <c r="M240" s="5">
        <f t="shared" si="0"/>
        <v>0</v>
      </c>
      <c r="N240" s="5">
        <f t="shared" si="1"/>
        <v>0</v>
      </c>
      <c r="O240" s="5">
        <f t="shared" si="2"/>
        <v>0</v>
      </c>
      <c r="P240" s="5">
        <f t="shared" si="3"/>
        <v>1</v>
      </c>
      <c r="Q240" s="5">
        <f t="shared" si="4"/>
        <v>0</v>
      </c>
      <c r="R240" s="5">
        <f t="shared" si="5"/>
        <v>0</v>
      </c>
      <c r="S240" s="2">
        <v>111893.06</v>
      </c>
      <c r="T240" s="2">
        <v>761919.25</v>
      </c>
      <c r="U240" s="12">
        <f t="shared" si="12"/>
        <v>772659.6869175547</v>
      </c>
      <c r="V240">
        <f t="shared" si="13"/>
        <v>-10740.436917554704</v>
      </c>
    </row>
    <row r="241" spans="1:22" ht="14.25">
      <c r="A241" s="2" t="s">
        <v>81</v>
      </c>
      <c r="B241" s="3">
        <v>45748</v>
      </c>
      <c r="C241" s="2" t="s">
        <v>27</v>
      </c>
      <c r="D241" s="2" t="s">
        <v>28</v>
      </c>
      <c r="E241" s="2">
        <v>26248.1</v>
      </c>
      <c r="F241" s="2">
        <v>9314</v>
      </c>
      <c r="G241" s="2">
        <v>0.186</v>
      </c>
      <c r="H241" s="2">
        <v>21</v>
      </c>
      <c r="I241" s="2">
        <v>83.7</v>
      </c>
      <c r="J241" s="2">
        <v>4.62</v>
      </c>
      <c r="K241" s="2">
        <v>0</v>
      </c>
      <c r="L241" s="2">
        <v>3.3</v>
      </c>
      <c r="M241" s="5">
        <f t="shared" si="0"/>
        <v>0</v>
      </c>
      <c r="N241" s="5">
        <f t="shared" si="1"/>
        <v>0</v>
      </c>
      <c r="O241" s="5">
        <f t="shared" si="2"/>
        <v>0</v>
      </c>
      <c r="P241" s="5">
        <f t="shared" si="3"/>
        <v>1</v>
      </c>
      <c r="Q241" s="5">
        <f t="shared" si="4"/>
        <v>0</v>
      </c>
      <c r="R241" s="5">
        <f t="shared" si="5"/>
        <v>0</v>
      </c>
      <c r="S241" s="2">
        <v>117593.97</v>
      </c>
      <c r="T241" s="2">
        <v>737070.18</v>
      </c>
      <c r="U241" s="12">
        <f t="shared" si="12"/>
        <v>733825.28649196518</v>
      </c>
      <c r="V241">
        <f t="shared" si="13"/>
        <v>3244.8935080348747</v>
      </c>
    </row>
    <row r="242" spans="1:22" ht="14.25">
      <c r="A242" s="2" t="s">
        <v>82</v>
      </c>
      <c r="B242" s="3">
        <v>45658</v>
      </c>
      <c r="C242" s="2" t="s">
        <v>24</v>
      </c>
      <c r="D242" s="2" t="s">
        <v>21</v>
      </c>
      <c r="E242" s="2">
        <v>69900.12</v>
      </c>
      <c r="F242" s="2">
        <v>8055</v>
      </c>
      <c r="G242" s="2">
        <v>0.28100000000000003</v>
      </c>
      <c r="H242" s="2">
        <v>22</v>
      </c>
      <c r="I242" s="2">
        <v>85.6</v>
      </c>
      <c r="J242" s="2">
        <v>10.68</v>
      </c>
      <c r="K242" s="2">
        <v>1</v>
      </c>
      <c r="L242" s="2">
        <v>2.9</v>
      </c>
      <c r="M242" s="5">
        <f t="shared" si="0"/>
        <v>0</v>
      </c>
      <c r="N242" s="5">
        <f t="shared" si="1"/>
        <v>1</v>
      </c>
      <c r="O242" s="5">
        <f t="shared" si="2"/>
        <v>0</v>
      </c>
      <c r="P242" s="5">
        <f t="shared" si="3"/>
        <v>0</v>
      </c>
      <c r="Q242" s="5">
        <f t="shared" si="4"/>
        <v>0</v>
      </c>
      <c r="R242" s="5">
        <f t="shared" si="5"/>
        <v>1</v>
      </c>
      <c r="S242" s="2">
        <v>101598.32</v>
      </c>
      <c r="T242" s="2">
        <v>776992.93</v>
      </c>
      <c r="U242" s="12">
        <f t="shared" si="12"/>
        <v>754612.29650688893</v>
      </c>
      <c r="V242">
        <f t="shared" si="13"/>
        <v>22380.63349311112</v>
      </c>
    </row>
    <row r="243" spans="1:22" ht="14.25">
      <c r="A243" s="2" t="s">
        <v>82</v>
      </c>
      <c r="B243" s="3">
        <v>45689</v>
      </c>
      <c r="C243" s="2" t="s">
        <v>24</v>
      </c>
      <c r="D243" s="2" t="s">
        <v>21</v>
      </c>
      <c r="E243" s="2">
        <v>51781.599999999999</v>
      </c>
      <c r="F243" s="2">
        <v>5648</v>
      </c>
      <c r="G243" s="2">
        <v>5.8999999999999997E-2</v>
      </c>
      <c r="H243" s="2">
        <v>13</v>
      </c>
      <c r="I243" s="2">
        <v>85.5</v>
      </c>
      <c r="J243" s="2">
        <v>4.04</v>
      </c>
      <c r="K243" s="2">
        <v>0</v>
      </c>
      <c r="L243" s="2">
        <v>3.7</v>
      </c>
      <c r="M243" s="5">
        <f t="shared" si="0"/>
        <v>0</v>
      </c>
      <c r="N243" s="5">
        <f t="shared" si="1"/>
        <v>1</v>
      </c>
      <c r="O243" s="5">
        <f t="shared" si="2"/>
        <v>0</v>
      </c>
      <c r="P243" s="5">
        <f t="shared" si="3"/>
        <v>0</v>
      </c>
      <c r="Q243" s="5">
        <f t="shared" si="4"/>
        <v>0</v>
      </c>
      <c r="R243" s="5">
        <f t="shared" si="5"/>
        <v>1</v>
      </c>
      <c r="S243" s="2">
        <v>104355.77</v>
      </c>
      <c r="T243" s="2">
        <v>676337.41</v>
      </c>
      <c r="U243" s="12">
        <f t="shared" si="12"/>
        <v>661845.44582933711</v>
      </c>
      <c r="V243">
        <f t="shared" si="13"/>
        <v>14491.964170662919</v>
      </c>
    </row>
    <row r="244" spans="1:22" ht="14.25">
      <c r="A244" s="2" t="s">
        <v>82</v>
      </c>
      <c r="B244" s="3">
        <v>45717</v>
      </c>
      <c r="C244" s="2" t="s">
        <v>24</v>
      </c>
      <c r="D244" s="2" t="s">
        <v>21</v>
      </c>
      <c r="E244" s="2">
        <v>70799.64</v>
      </c>
      <c r="F244" s="2">
        <v>10076</v>
      </c>
      <c r="G244" s="2">
        <v>0.152</v>
      </c>
      <c r="H244" s="2">
        <v>24</v>
      </c>
      <c r="I244" s="2">
        <v>84.8</v>
      </c>
      <c r="J244" s="2">
        <v>1.87</v>
      </c>
      <c r="K244" s="2">
        <v>0</v>
      </c>
      <c r="L244" s="2">
        <v>3.5</v>
      </c>
      <c r="M244" s="5">
        <f t="shared" si="0"/>
        <v>0</v>
      </c>
      <c r="N244" s="5">
        <f t="shared" si="1"/>
        <v>1</v>
      </c>
      <c r="O244" s="5">
        <f t="shared" si="2"/>
        <v>0</v>
      </c>
      <c r="P244" s="5">
        <f t="shared" si="3"/>
        <v>0</v>
      </c>
      <c r="Q244" s="5">
        <f t="shared" si="4"/>
        <v>0</v>
      </c>
      <c r="R244" s="5">
        <f t="shared" si="5"/>
        <v>1</v>
      </c>
      <c r="S244" s="2">
        <v>179806.87</v>
      </c>
      <c r="T244" s="2">
        <v>828219.67</v>
      </c>
      <c r="U244" s="12">
        <f t="shared" si="12"/>
        <v>843472.61760460271</v>
      </c>
      <c r="V244">
        <f t="shared" si="13"/>
        <v>-15252.947604602668</v>
      </c>
    </row>
    <row r="245" spans="1:22" ht="14.25">
      <c r="A245" s="2" t="s">
        <v>82</v>
      </c>
      <c r="B245" s="3">
        <v>45748</v>
      </c>
      <c r="C245" s="2" t="s">
        <v>24</v>
      </c>
      <c r="D245" s="2" t="s">
        <v>21</v>
      </c>
      <c r="E245" s="2">
        <v>53546.34</v>
      </c>
      <c r="F245" s="2">
        <v>8004</v>
      </c>
      <c r="G245" s="2">
        <v>0</v>
      </c>
      <c r="H245" s="2">
        <v>21</v>
      </c>
      <c r="I245" s="2">
        <v>95.2</v>
      </c>
      <c r="J245" s="2">
        <v>2.83</v>
      </c>
      <c r="K245" s="2">
        <v>0</v>
      </c>
      <c r="L245" s="2">
        <v>3</v>
      </c>
      <c r="M245" s="5">
        <f t="shared" si="0"/>
        <v>0</v>
      </c>
      <c r="N245" s="5">
        <f t="shared" si="1"/>
        <v>1</v>
      </c>
      <c r="O245" s="5">
        <f t="shared" si="2"/>
        <v>0</v>
      </c>
      <c r="P245" s="5">
        <f t="shared" si="3"/>
        <v>0</v>
      </c>
      <c r="Q245" s="5">
        <f t="shared" si="4"/>
        <v>0</v>
      </c>
      <c r="R245" s="5">
        <f t="shared" si="5"/>
        <v>1</v>
      </c>
      <c r="S245" s="2">
        <v>177104.87</v>
      </c>
      <c r="T245" s="2">
        <v>763159.92</v>
      </c>
      <c r="U245" s="12">
        <f t="shared" si="12"/>
        <v>783992.19654549938</v>
      </c>
      <c r="V245">
        <f t="shared" si="13"/>
        <v>-20832.276545499335</v>
      </c>
    </row>
    <row r="246" spans="1:22" ht="14.25">
      <c r="A246" s="2" t="s">
        <v>83</v>
      </c>
      <c r="B246" s="3">
        <v>45658</v>
      </c>
      <c r="C246" s="2" t="s">
        <v>15</v>
      </c>
      <c r="D246" s="2" t="s">
        <v>18</v>
      </c>
      <c r="E246" s="2">
        <v>76942.2</v>
      </c>
      <c r="F246" s="2">
        <v>8934</v>
      </c>
      <c r="G246" s="2">
        <v>8.4000000000000005E-2</v>
      </c>
      <c r="H246" s="2">
        <v>20</v>
      </c>
      <c r="I246" s="2">
        <v>91</v>
      </c>
      <c r="J246" s="2">
        <v>0.95</v>
      </c>
      <c r="K246" s="2">
        <v>0</v>
      </c>
      <c r="L246" s="2">
        <v>3.2</v>
      </c>
      <c r="M246" s="5">
        <f t="shared" si="0"/>
        <v>0</v>
      </c>
      <c r="N246" s="5">
        <f t="shared" si="1"/>
        <v>0</v>
      </c>
      <c r="O246" s="5">
        <f t="shared" si="2"/>
        <v>1</v>
      </c>
      <c r="P246" s="5">
        <f t="shared" si="3"/>
        <v>0</v>
      </c>
      <c r="Q246" s="5">
        <f t="shared" si="4"/>
        <v>1</v>
      </c>
      <c r="R246" s="5">
        <f t="shared" si="5"/>
        <v>0</v>
      </c>
      <c r="S246" s="2">
        <v>159715.82</v>
      </c>
      <c r="T246" s="2">
        <v>802001.68</v>
      </c>
      <c r="U246" s="12">
        <f t="shared" si="12"/>
        <v>781288.20208082243</v>
      </c>
      <c r="V246">
        <f t="shared" si="13"/>
        <v>20713.477919177618</v>
      </c>
    </row>
    <row r="247" spans="1:22" ht="14.25">
      <c r="A247" s="2" t="s">
        <v>83</v>
      </c>
      <c r="B247" s="3">
        <v>45689</v>
      </c>
      <c r="C247" s="2" t="s">
        <v>15</v>
      </c>
      <c r="D247" s="2" t="s">
        <v>18</v>
      </c>
      <c r="E247" s="2">
        <v>48060.78</v>
      </c>
      <c r="F247" s="2">
        <v>8733</v>
      </c>
      <c r="G247" s="2">
        <v>0</v>
      </c>
      <c r="H247" s="2">
        <v>20</v>
      </c>
      <c r="I247" s="2">
        <v>89.9</v>
      </c>
      <c r="J247" s="2">
        <v>0.8</v>
      </c>
      <c r="K247" s="2">
        <v>0</v>
      </c>
      <c r="L247" s="2">
        <v>3.4</v>
      </c>
      <c r="M247" s="5">
        <f t="shared" si="0"/>
        <v>0</v>
      </c>
      <c r="N247" s="5">
        <f t="shared" si="1"/>
        <v>0</v>
      </c>
      <c r="O247" s="5">
        <f t="shared" si="2"/>
        <v>1</v>
      </c>
      <c r="P247" s="5">
        <f t="shared" si="3"/>
        <v>0</v>
      </c>
      <c r="Q247" s="5">
        <f t="shared" si="4"/>
        <v>1</v>
      </c>
      <c r="R247" s="5">
        <f t="shared" si="5"/>
        <v>0</v>
      </c>
      <c r="S247" s="2">
        <v>133788.04</v>
      </c>
      <c r="T247" s="2">
        <v>750471.34</v>
      </c>
      <c r="U247" s="12">
        <f t="shared" si="12"/>
        <v>743962.77561020385</v>
      </c>
      <c r="V247">
        <f t="shared" si="13"/>
        <v>6508.5643897961127</v>
      </c>
    </row>
    <row r="248" spans="1:22" ht="14.25">
      <c r="A248" s="2" t="s">
        <v>83</v>
      </c>
      <c r="B248" s="3">
        <v>45717</v>
      </c>
      <c r="C248" s="2" t="s">
        <v>15</v>
      </c>
      <c r="D248" s="2" t="s">
        <v>18</v>
      </c>
      <c r="E248" s="2">
        <v>57390.04</v>
      </c>
      <c r="F248" s="2">
        <v>7374</v>
      </c>
      <c r="G248" s="2">
        <v>0.21</v>
      </c>
      <c r="H248" s="2">
        <v>21</v>
      </c>
      <c r="I248" s="2">
        <v>91.8</v>
      </c>
      <c r="J248" s="2">
        <v>0.2</v>
      </c>
      <c r="K248" s="2">
        <v>0</v>
      </c>
      <c r="L248" s="2">
        <v>3.1</v>
      </c>
      <c r="M248" s="5">
        <f t="shared" si="0"/>
        <v>0</v>
      </c>
      <c r="N248" s="5">
        <f t="shared" si="1"/>
        <v>0</v>
      </c>
      <c r="O248" s="5">
        <f t="shared" si="2"/>
        <v>1</v>
      </c>
      <c r="P248" s="5">
        <f t="shared" si="3"/>
        <v>0</v>
      </c>
      <c r="Q248" s="5">
        <f t="shared" si="4"/>
        <v>1</v>
      </c>
      <c r="R248" s="5">
        <f t="shared" si="5"/>
        <v>0</v>
      </c>
      <c r="S248" s="2">
        <v>106927.58</v>
      </c>
      <c r="T248" s="2">
        <v>679230.86</v>
      </c>
      <c r="U248" s="12">
        <f t="shared" si="12"/>
        <v>717076.18813819962</v>
      </c>
      <c r="V248">
        <f t="shared" si="13"/>
        <v>-37845.328138199635</v>
      </c>
    </row>
    <row r="249" spans="1:22" ht="14.25">
      <c r="A249" s="2" t="s">
        <v>83</v>
      </c>
      <c r="B249" s="3">
        <v>45748</v>
      </c>
      <c r="C249" s="2" t="s">
        <v>15</v>
      </c>
      <c r="D249" s="2" t="s">
        <v>18</v>
      </c>
      <c r="E249" s="2">
        <v>21536.18</v>
      </c>
      <c r="F249" s="2">
        <v>8119</v>
      </c>
      <c r="G249" s="2">
        <v>0.22700000000000001</v>
      </c>
      <c r="H249" s="2">
        <v>20</v>
      </c>
      <c r="I249" s="2">
        <v>90.4</v>
      </c>
      <c r="J249" s="2">
        <v>1.7</v>
      </c>
      <c r="K249" s="2">
        <v>0</v>
      </c>
      <c r="L249" s="2">
        <v>3.3</v>
      </c>
      <c r="M249" s="5">
        <f t="shared" si="0"/>
        <v>0</v>
      </c>
      <c r="N249" s="5">
        <f t="shared" si="1"/>
        <v>0</v>
      </c>
      <c r="O249" s="5">
        <f t="shared" si="2"/>
        <v>1</v>
      </c>
      <c r="P249" s="5">
        <f t="shared" si="3"/>
        <v>0</v>
      </c>
      <c r="Q249" s="5">
        <f t="shared" si="4"/>
        <v>1</v>
      </c>
      <c r="R249" s="5">
        <f t="shared" si="5"/>
        <v>0</v>
      </c>
      <c r="S249" s="2">
        <v>83406.89</v>
      </c>
      <c r="T249" s="2">
        <v>679888.74</v>
      </c>
      <c r="U249" s="12">
        <f t="shared" si="12"/>
        <v>682909.14982041053</v>
      </c>
      <c r="V249">
        <f t="shared" si="13"/>
        <v>-3020.4098204105394</v>
      </c>
    </row>
    <row r="250" spans="1:22" ht="14.25">
      <c r="A250" s="2" t="s">
        <v>84</v>
      </c>
      <c r="B250" s="3">
        <v>45658</v>
      </c>
      <c r="C250" s="2" t="s">
        <v>20</v>
      </c>
      <c r="D250" s="2" t="s">
        <v>18</v>
      </c>
      <c r="E250" s="2">
        <v>40923.67</v>
      </c>
      <c r="F250" s="2">
        <v>3875</v>
      </c>
      <c r="G250" s="2">
        <v>0.15</v>
      </c>
      <c r="H250" s="2">
        <v>10</v>
      </c>
      <c r="I250" s="2">
        <v>96.1</v>
      </c>
      <c r="J250" s="2">
        <v>3.3650000000000002</v>
      </c>
      <c r="K250" s="2">
        <v>0</v>
      </c>
      <c r="L250" s="2">
        <v>3.8</v>
      </c>
      <c r="M250" s="5">
        <f t="shared" si="0"/>
        <v>1</v>
      </c>
      <c r="N250" s="5">
        <f t="shared" si="1"/>
        <v>0</v>
      </c>
      <c r="O250" s="5">
        <f t="shared" si="2"/>
        <v>0</v>
      </c>
      <c r="P250" s="5">
        <f t="shared" si="3"/>
        <v>0</v>
      </c>
      <c r="Q250" s="5">
        <f t="shared" si="4"/>
        <v>1</v>
      </c>
      <c r="R250" s="5">
        <f t="shared" si="5"/>
        <v>0</v>
      </c>
      <c r="S250" s="2">
        <v>74515.87</v>
      </c>
      <c r="T250" s="2">
        <v>606783.67000000004</v>
      </c>
      <c r="U250" s="12">
        <f t="shared" si="12"/>
        <v>586377.13958865567</v>
      </c>
      <c r="V250">
        <f t="shared" si="13"/>
        <v>20406.530411344371</v>
      </c>
    </row>
    <row r="251" spans="1:22" ht="14.25">
      <c r="A251" s="2" t="s">
        <v>84</v>
      </c>
      <c r="B251" s="3">
        <v>45689</v>
      </c>
      <c r="C251" s="2" t="s">
        <v>20</v>
      </c>
      <c r="D251" s="2" t="s">
        <v>18</v>
      </c>
      <c r="E251" s="2">
        <v>72932.55</v>
      </c>
      <c r="F251" s="2">
        <v>5765</v>
      </c>
      <c r="G251" s="2">
        <v>2.5999999999999999E-2</v>
      </c>
      <c r="H251" s="2">
        <v>17</v>
      </c>
      <c r="I251" s="2">
        <v>81.8</v>
      </c>
      <c r="J251" s="2">
        <v>5.0999999999999996</v>
      </c>
      <c r="K251" s="2">
        <v>0</v>
      </c>
      <c r="L251" s="2">
        <v>3.6</v>
      </c>
      <c r="M251" s="5">
        <f t="shared" si="0"/>
        <v>1</v>
      </c>
      <c r="N251" s="5">
        <f t="shared" si="1"/>
        <v>0</v>
      </c>
      <c r="O251" s="5">
        <f t="shared" si="2"/>
        <v>0</v>
      </c>
      <c r="P251" s="5">
        <f t="shared" si="3"/>
        <v>0</v>
      </c>
      <c r="Q251" s="5">
        <f t="shared" si="4"/>
        <v>1</v>
      </c>
      <c r="R251" s="5">
        <f t="shared" si="5"/>
        <v>0</v>
      </c>
      <c r="S251" s="2">
        <v>131942.15</v>
      </c>
      <c r="T251" s="2">
        <v>642751.42000000004</v>
      </c>
      <c r="U251" s="12">
        <f t="shared" si="12"/>
        <v>654187.33172773465</v>
      </c>
      <c r="V251">
        <f t="shared" si="13"/>
        <v>-11435.911727734609</v>
      </c>
    </row>
    <row r="252" spans="1:22" ht="14.25">
      <c r="A252" s="2" t="s">
        <v>84</v>
      </c>
      <c r="B252" s="3">
        <v>45717</v>
      </c>
      <c r="C252" s="2" t="s">
        <v>20</v>
      </c>
      <c r="D252" s="2" t="s">
        <v>18</v>
      </c>
      <c r="E252" s="2">
        <v>38361.93</v>
      </c>
      <c r="F252" s="2">
        <v>6322</v>
      </c>
      <c r="G252" s="2">
        <v>0.27300000000000002</v>
      </c>
      <c r="H252" s="2">
        <v>15</v>
      </c>
      <c r="I252" s="2">
        <v>88.4</v>
      </c>
      <c r="J252" s="2">
        <v>0.83</v>
      </c>
      <c r="K252" s="2">
        <v>0</v>
      </c>
      <c r="L252" s="2">
        <v>4</v>
      </c>
      <c r="M252" s="5">
        <f t="shared" si="0"/>
        <v>1</v>
      </c>
      <c r="N252" s="5">
        <f t="shared" si="1"/>
        <v>0</v>
      </c>
      <c r="O252" s="5">
        <f t="shared" si="2"/>
        <v>0</v>
      </c>
      <c r="P252" s="5">
        <f t="shared" si="3"/>
        <v>0</v>
      </c>
      <c r="Q252" s="5">
        <f t="shared" si="4"/>
        <v>1</v>
      </c>
      <c r="R252" s="5">
        <f t="shared" si="5"/>
        <v>0</v>
      </c>
      <c r="S252" s="2">
        <v>118497.43</v>
      </c>
      <c r="T252" s="2">
        <v>647953.78</v>
      </c>
      <c r="U252" s="12">
        <f t="shared" si="12"/>
        <v>650276.85121865978</v>
      </c>
      <c r="V252">
        <f t="shared" si="13"/>
        <v>-2323.071218659752</v>
      </c>
    </row>
    <row r="253" spans="1:22" ht="14.25">
      <c r="A253" s="2" t="s">
        <v>84</v>
      </c>
      <c r="B253" s="3">
        <v>45748</v>
      </c>
      <c r="C253" s="2" t="s">
        <v>20</v>
      </c>
      <c r="D253" s="2" t="s">
        <v>18</v>
      </c>
      <c r="E253" s="2">
        <v>97480.94</v>
      </c>
      <c r="F253" s="2">
        <v>6840</v>
      </c>
      <c r="G253" s="2">
        <v>8.6999999999999994E-2</v>
      </c>
      <c r="H253" s="2">
        <v>14</v>
      </c>
      <c r="I253" s="2">
        <v>79.2</v>
      </c>
      <c r="J253" s="2">
        <v>1.1399999999999999</v>
      </c>
      <c r="K253" s="2">
        <v>0</v>
      </c>
      <c r="L253" s="2">
        <v>4</v>
      </c>
      <c r="M253" s="5">
        <f t="shared" si="0"/>
        <v>1</v>
      </c>
      <c r="N253" s="5">
        <f t="shared" si="1"/>
        <v>0</v>
      </c>
      <c r="O253" s="5">
        <f t="shared" si="2"/>
        <v>0</v>
      </c>
      <c r="P253" s="5">
        <f t="shared" si="3"/>
        <v>0</v>
      </c>
      <c r="Q253" s="5">
        <f t="shared" si="4"/>
        <v>1</v>
      </c>
      <c r="R253" s="5">
        <f t="shared" si="5"/>
        <v>0</v>
      </c>
      <c r="S253" s="2">
        <v>87614.29</v>
      </c>
      <c r="T253" s="2">
        <v>729440.45</v>
      </c>
      <c r="U253" s="12">
        <f t="shared" si="12"/>
        <v>710891.4531893325</v>
      </c>
      <c r="V253">
        <f t="shared" si="13"/>
        <v>18548.99681066745</v>
      </c>
    </row>
    <row r="254" spans="1:22" ht="14.25">
      <c r="A254" s="2" t="s">
        <v>85</v>
      </c>
      <c r="B254" s="3">
        <v>45658</v>
      </c>
      <c r="C254" s="2" t="s">
        <v>24</v>
      </c>
      <c r="D254" s="2" t="s">
        <v>21</v>
      </c>
      <c r="E254" s="2">
        <v>81801.8</v>
      </c>
      <c r="F254" s="2">
        <v>6782</v>
      </c>
      <c r="G254" s="2">
        <v>0.05</v>
      </c>
      <c r="H254" s="2">
        <v>16</v>
      </c>
      <c r="I254" s="2">
        <v>99</v>
      </c>
      <c r="J254" s="2">
        <v>9.5399999999999991</v>
      </c>
      <c r="K254" s="2">
        <v>0</v>
      </c>
      <c r="L254" s="2">
        <v>3.7</v>
      </c>
      <c r="M254" s="5">
        <f t="shared" si="0"/>
        <v>0</v>
      </c>
      <c r="N254" s="5">
        <f t="shared" si="1"/>
        <v>1</v>
      </c>
      <c r="O254" s="5">
        <f t="shared" si="2"/>
        <v>0</v>
      </c>
      <c r="P254" s="5">
        <f t="shared" si="3"/>
        <v>0</v>
      </c>
      <c r="Q254" s="5">
        <f t="shared" si="4"/>
        <v>0</v>
      </c>
      <c r="R254" s="5">
        <f t="shared" si="5"/>
        <v>1</v>
      </c>
      <c r="S254" s="2">
        <v>148322.43</v>
      </c>
      <c r="T254" s="2">
        <v>764949</v>
      </c>
      <c r="U254" s="12">
        <f t="shared" si="12"/>
        <v>762493.61725522566</v>
      </c>
      <c r="V254">
        <f t="shared" si="13"/>
        <v>2455.3827447743388</v>
      </c>
    </row>
    <row r="255" spans="1:22" ht="14.25">
      <c r="A255" s="2" t="s">
        <v>85</v>
      </c>
      <c r="B255" s="3">
        <v>45689</v>
      </c>
      <c r="C255" s="2" t="s">
        <v>24</v>
      </c>
      <c r="D255" s="2" t="s">
        <v>21</v>
      </c>
      <c r="E255" s="2">
        <v>63582.11</v>
      </c>
      <c r="F255" s="2">
        <v>6856</v>
      </c>
      <c r="G255" s="2">
        <v>7.3999999999999996E-2</v>
      </c>
      <c r="H255" s="2">
        <v>17</v>
      </c>
      <c r="I255" s="2">
        <v>89.5</v>
      </c>
      <c r="J255" s="2">
        <v>5.48</v>
      </c>
      <c r="K255" s="2">
        <v>0</v>
      </c>
      <c r="L255" s="2">
        <v>3.2</v>
      </c>
      <c r="M255" s="5">
        <f t="shared" si="0"/>
        <v>0</v>
      </c>
      <c r="N255" s="5">
        <f t="shared" si="1"/>
        <v>1</v>
      </c>
      <c r="O255" s="5">
        <f t="shared" si="2"/>
        <v>0</v>
      </c>
      <c r="P255" s="5">
        <f t="shared" si="3"/>
        <v>0</v>
      </c>
      <c r="Q255" s="5">
        <f t="shared" si="4"/>
        <v>0</v>
      </c>
      <c r="R255" s="5">
        <f t="shared" si="5"/>
        <v>1</v>
      </c>
      <c r="S255" s="2">
        <v>144553.64000000001</v>
      </c>
      <c r="T255" s="2">
        <v>799046.94</v>
      </c>
      <c r="U255" s="12">
        <f t="shared" si="12"/>
        <v>723603.52695917815</v>
      </c>
      <c r="V255">
        <f t="shared" si="13"/>
        <v>75443.41304082179</v>
      </c>
    </row>
    <row r="256" spans="1:22" ht="14.25">
      <c r="A256" s="2" t="s">
        <v>85</v>
      </c>
      <c r="B256" s="3">
        <v>45717</v>
      </c>
      <c r="C256" s="2" t="s">
        <v>24</v>
      </c>
      <c r="D256" s="2" t="s">
        <v>21</v>
      </c>
      <c r="E256" s="2">
        <v>75412.740000000005</v>
      </c>
      <c r="F256" s="2">
        <v>5641</v>
      </c>
      <c r="G256" s="2">
        <v>5.8999999999999997E-2</v>
      </c>
      <c r="H256" s="2">
        <v>13</v>
      </c>
      <c r="I256" s="2">
        <v>87.9</v>
      </c>
      <c r="J256" s="2">
        <v>0.84</v>
      </c>
      <c r="K256" s="2">
        <v>0</v>
      </c>
      <c r="L256" s="2">
        <v>3.6</v>
      </c>
      <c r="M256" s="5">
        <f t="shared" si="0"/>
        <v>0</v>
      </c>
      <c r="N256" s="5">
        <f t="shared" si="1"/>
        <v>1</v>
      </c>
      <c r="O256" s="5">
        <f t="shared" si="2"/>
        <v>0</v>
      </c>
      <c r="P256" s="5">
        <f t="shared" si="3"/>
        <v>0</v>
      </c>
      <c r="Q256" s="5">
        <f t="shared" si="4"/>
        <v>0</v>
      </c>
      <c r="R256" s="5">
        <f t="shared" si="5"/>
        <v>1</v>
      </c>
      <c r="S256" s="2">
        <v>119499.47</v>
      </c>
      <c r="T256" s="2">
        <v>720079.54</v>
      </c>
      <c r="U256" s="12">
        <f t="shared" si="12"/>
        <v>707346.38591743808</v>
      </c>
      <c r="V256">
        <f t="shared" si="13"/>
        <v>12733.15408256196</v>
      </c>
    </row>
    <row r="257" spans="1:22" ht="14.25">
      <c r="A257" s="2" t="s">
        <v>85</v>
      </c>
      <c r="B257" s="3">
        <v>45748</v>
      </c>
      <c r="C257" s="2" t="s">
        <v>24</v>
      </c>
      <c r="D257" s="2" t="s">
        <v>21</v>
      </c>
      <c r="E257" s="2">
        <v>36290.080000000002</v>
      </c>
      <c r="F257" s="2">
        <v>5787</v>
      </c>
      <c r="G257" s="2">
        <v>0</v>
      </c>
      <c r="H257" s="2">
        <v>17</v>
      </c>
      <c r="I257" s="2">
        <v>88.3</v>
      </c>
      <c r="J257" s="2">
        <v>4.1900000000000004</v>
      </c>
      <c r="K257" s="2">
        <v>0</v>
      </c>
      <c r="L257" s="2">
        <v>4.0999999999999996</v>
      </c>
      <c r="M257" s="5">
        <f t="shared" si="0"/>
        <v>0</v>
      </c>
      <c r="N257" s="5">
        <f t="shared" si="1"/>
        <v>1</v>
      </c>
      <c r="O257" s="5">
        <f t="shared" si="2"/>
        <v>0</v>
      </c>
      <c r="P257" s="5">
        <f t="shared" si="3"/>
        <v>0</v>
      </c>
      <c r="Q257" s="5">
        <f t="shared" si="4"/>
        <v>0</v>
      </c>
      <c r="R257" s="5">
        <f t="shared" si="5"/>
        <v>1</v>
      </c>
      <c r="S257" s="2">
        <v>108985.74</v>
      </c>
      <c r="T257" s="2">
        <v>612390.14</v>
      </c>
      <c r="U257" s="12">
        <f t="shared" si="12"/>
        <v>676430.74504819931</v>
      </c>
      <c r="V257">
        <f t="shared" si="13"/>
        <v>-64040.605048199301</v>
      </c>
    </row>
    <row r="258" spans="1:22" ht="14.25">
      <c r="A258" s="2" t="s">
        <v>86</v>
      </c>
      <c r="B258" s="3">
        <v>45658</v>
      </c>
      <c r="C258" s="2" t="s">
        <v>24</v>
      </c>
      <c r="D258" s="2" t="s">
        <v>28</v>
      </c>
      <c r="E258" s="2">
        <v>65272.58</v>
      </c>
      <c r="F258" s="2">
        <v>8165</v>
      </c>
      <c r="G258" s="2">
        <v>5.0999999999999997E-2</v>
      </c>
      <c r="H258" s="2">
        <v>19</v>
      </c>
      <c r="I258" s="2">
        <v>87.8</v>
      </c>
      <c r="J258" s="2">
        <v>1.26</v>
      </c>
      <c r="K258" s="2">
        <v>1</v>
      </c>
      <c r="L258" s="2">
        <v>4.3</v>
      </c>
      <c r="M258" s="5">
        <f t="shared" si="0"/>
        <v>0</v>
      </c>
      <c r="N258" s="5">
        <f t="shared" si="1"/>
        <v>1</v>
      </c>
      <c r="O258" s="5">
        <f t="shared" si="2"/>
        <v>0</v>
      </c>
      <c r="P258" s="5">
        <f t="shared" si="3"/>
        <v>1</v>
      </c>
      <c r="Q258" s="5">
        <f t="shared" si="4"/>
        <v>0</v>
      </c>
      <c r="R258" s="5">
        <f t="shared" si="5"/>
        <v>0</v>
      </c>
      <c r="S258" s="2">
        <v>126587.01</v>
      </c>
      <c r="T258" s="2">
        <v>840108.12</v>
      </c>
      <c r="U258" s="12">
        <f t="shared" si="12"/>
        <v>795755.85577051935</v>
      </c>
      <c r="V258">
        <f t="shared" si="13"/>
        <v>44352.264229480643</v>
      </c>
    </row>
    <row r="259" spans="1:22" ht="14.25">
      <c r="A259" s="2" t="s">
        <v>86</v>
      </c>
      <c r="B259" s="3">
        <v>45689</v>
      </c>
      <c r="C259" s="2" t="s">
        <v>24</v>
      </c>
      <c r="D259" s="2" t="s">
        <v>28</v>
      </c>
      <c r="E259" s="2">
        <v>28670.43</v>
      </c>
      <c r="F259" s="2">
        <v>7574</v>
      </c>
      <c r="G259" s="2">
        <v>0.114</v>
      </c>
      <c r="H259" s="2">
        <v>19</v>
      </c>
      <c r="I259" s="2">
        <v>82.7</v>
      </c>
      <c r="J259" s="2">
        <v>2.74</v>
      </c>
      <c r="K259" s="2">
        <v>0</v>
      </c>
      <c r="L259" s="2">
        <v>4.5999999999999996</v>
      </c>
      <c r="M259" s="5">
        <f t="shared" si="0"/>
        <v>0</v>
      </c>
      <c r="N259" s="5">
        <f t="shared" si="1"/>
        <v>1</v>
      </c>
      <c r="O259" s="5">
        <f t="shared" si="2"/>
        <v>0</v>
      </c>
      <c r="P259" s="5">
        <f t="shared" si="3"/>
        <v>1</v>
      </c>
      <c r="Q259" s="5">
        <f t="shared" si="4"/>
        <v>0</v>
      </c>
      <c r="R259" s="5">
        <f t="shared" si="5"/>
        <v>0</v>
      </c>
      <c r="S259" s="2">
        <v>116249.87</v>
      </c>
      <c r="T259" s="2">
        <v>697888.09</v>
      </c>
      <c r="U259" s="12">
        <f t="shared" ref="U259:U276" si="14">66915.46892
+(1.209928492*E259)
+(27.33619482*F259)
+(-41243.14883*G259)
+(3508.399163*H259)
+(3062.210286*I259)
+(-3438.10791*J259)
+(15157.28728*K259)
+(12509.46131*L259)
+(-15342.70531*M259)
+(-4201.853217*N259)
+(-25291.41891*O259)
+(32832.85351*P259)
+(20219.25907*Q259)
+(44695.0949*R259)</f>
        <v>700605.74104975152</v>
      </c>
      <c r="V259">
        <f t="shared" ref="V259:V321" si="15">T259-U259</f>
        <v>-2717.6510497515555</v>
      </c>
    </row>
    <row r="260" spans="1:22" ht="14.25">
      <c r="A260" s="2" t="s">
        <v>86</v>
      </c>
      <c r="B260" s="3">
        <v>45717</v>
      </c>
      <c r="C260" s="2" t="s">
        <v>24</v>
      </c>
      <c r="D260" s="2" t="s">
        <v>28</v>
      </c>
      <c r="E260" s="2">
        <v>44189.34</v>
      </c>
      <c r="F260" s="2">
        <v>8634</v>
      </c>
      <c r="G260" s="2">
        <v>0.14299999999999999</v>
      </c>
      <c r="H260" s="2">
        <v>19</v>
      </c>
      <c r="I260" s="2">
        <v>87.5</v>
      </c>
      <c r="J260" s="2">
        <v>3.69</v>
      </c>
      <c r="K260" s="2">
        <v>0</v>
      </c>
      <c r="L260" s="2">
        <v>4.4000000000000004</v>
      </c>
      <c r="M260" s="5">
        <f t="shared" si="0"/>
        <v>0</v>
      </c>
      <c r="N260" s="5">
        <f t="shared" si="1"/>
        <v>1</v>
      </c>
      <c r="O260" s="5">
        <f t="shared" si="2"/>
        <v>0</v>
      </c>
      <c r="P260" s="5">
        <f t="shared" si="3"/>
        <v>1</v>
      </c>
      <c r="Q260" s="5">
        <f t="shared" si="4"/>
        <v>0</v>
      </c>
      <c r="R260" s="5">
        <f t="shared" si="5"/>
        <v>0</v>
      </c>
      <c r="S260" s="2">
        <v>94662.96</v>
      </c>
      <c r="T260" s="2">
        <v>746115.59</v>
      </c>
      <c r="U260" s="12">
        <f t="shared" si="14"/>
        <v>756093.34221296525</v>
      </c>
      <c r="V260">
        <f t="shared" si="15"/>
        <v>-9977.7522129652789</v>
      </c>
    </row>
    <row r="261" spans="1:22" ht="14.25">
      <c r="A261" s="2" t="s">
        <v>86</v>
      </c>
      <c r="B261" s="3">
        <v>45748</v>
      </c>
      <c r="C261" s="2" t="s">
        <v>24</v>
      </c>
      <c r="D261" s="2" t="s">
        <v>28</v>
      </c>
      <c r="E261" s="2">
        <v>38397.82</v>
      </c>
      <c r="F261" s="2">
        <v>7836</v>
      </c>
      <c r="G261" s="2">
        <v>7.0000000000000001E-3</v>
      </c>
      <c r="H261" s="2">
        <v>21</v>
      </c>
      <c r="I261" s="2">
        <v>92.2</v>
      </c>
      <c r="J261" s="2">
        <v>1.82</v>
      </c>
      <c r="K261" s="2">
        <v>0</v>
      </c>
      <c r="L261" s="2">
        <v>3.6</v>
      </c>
      <c r="M261" s="5">
        <f t="shared" si="0"/>
        <v>0</v>
      </c>
      <c r="N261" s="5">
        <f t="shared" si="1"/>
        <v>1</v>
      </c>
      <c r="O261" s="5">
        <f t="shared" si="2"/>
        <v>0</v>
      </c>
      <c r="P261" s="5">
        <f t="shared" si="3"/>
        <v>1</v>
      </c>
      <c r="Q261" s="5">
        <f t="shared" si="4"/>
        <v>0</v>
      </c>
      <c r="R261" s="5">
        <f t="shared" si="5"/>
        <v>0</v>
      </c>
      <c r="S261" s="2">
        <v>139676.21</v>
      </c>
      <c r="T261" s="2">
        <v>776110.32</v>
      </c>
      <c r="U261" s="12">
        <f t="shared" si="14"/>
        <v>750711.68134139746</v>
      </c>
      <c r="V261">
        <f t="shared" si="15"/>
        <v>25398.638658602489</v>
      </c>
    </row>
    <row r="262" spans="1:22" ht="14.25">
      <c r="A262" s="2" t="s">
        <v>87</v>
      </c>
      <c r="B262" s="3">
        <v>45658</v>
      </c>
      <c r="C262" s="2" t="s">
        <v>27</v>
      </c>
      <c r="D262" s="2" t="s">
        <v>18</v>
      </c>
      <c r="E262" s="2">
        <v>14519.37</v>
      </c>
      <c r="F262" s="2">
        <v>3047</v>
      </c>
      <c r="G262" s="2">
        <v>0.13500000000000001</v>
      </c>
      <c r="H262" s="2">
        <v>10</v>
      </c>
      <c r="I262" s="2">
        <v>90.3</v>
      </c>
      <c r="J262" s="2">
        <v>6.62</v>
      </c>
      <c r="K262" s="2">
        <v>0</v>
      </c>
      <c r="L262" s="2">
        <v>4.2</v>
      </c>
      <c r="M262" s="5">
        <f t="shared" si="0"/>
        <v>0</v>
      </c>
      <c r="N262" s="5">
        <f t="shared" si="1"/>
        <v>0</v>
      </c>
      <c r="O262" s="5">
        <f t="shared" si="2"/>
        <v>0</v>
      </c>
      <c r="P262" s="5">
        <f t="shared" si="3"/>
        <v>0</v>
      </c>
      <c r="Q262" s="5">
        <f t="shared" si="4"/>
        <v>1</v>
      </c>
      <c r="R262" s="5">
        <f t="shared" si="5"/>
        <v>0</v>
      </c>
      <c r="S262" s="2">
        <v>68426.210000000006</v>
      </c>
      <c r="T262" s="2">
        <v>528852.62</v>
      </c>
      <c r="U262" s="12">
        <f t="shared" si="14"/>
        <v>523808.73155698006</v>
      </c>
      <c r="V262">
        <f t="shared" si="15"/>
        <v>5043.8884430199396</v>
      </c>
    </row>
    <row r="263" spans="1:22" ht="14.25">
      <c r="A263" s="2" t="s">
        <v>87</v>
      </c>
      <c r="B263" s="3">
        <v>45689</v>
      </c>
      <c r="C263" s="2" t="s">
        <v>27</v>
      </c>
      <c r="D263" s="2" t="s">
        <v>18</v>
      </c>
      <c r="E263" s="2">
        <v>43288.2</v>
      </c>
      <c r="F263" s="2">
        <v>4783</v>
      </c>
      <c r="G263" s="2">
        <v>0.16900000000000001</v>
      </c>
      <c r="H263" s="2">
        <v>13</v>
      </c>
      <c r="I263" s="2">
        <v>87.3</v>
      </c>
      <c r="J263" s="2">
        <v>3.3650000000000002</v>
      </c>
      <c r="K263" s="2">
        <v>0</v>
      </c>
      <c r="L263" s="2">
        <v>4.2</v>
      </c>
      <c r="M263" s="5">
        <f t="shared" si="0"/>
        <v>0</v>
      </c>
      <c r="N263" s="5">
        <f t="shared" si="1"/>
        <v>0</v>
      </c>
      <c r="O263" s="5">
        <f t="shared" si="2"/>
        <v>0</v>
      </c>
      <c r="P263" s="5">
        <f t="shared" si="3"/>
        <v>0</v>
      </c>
      <c r="Q263" s="5">
        <f t="shared" si="4"/>
        <v>1</v>
      </c>
      <c r="R263" s="5">
        <f t="shared" si="5"/>
        <v>0</v>
      </c>
      <c r="S263" s="2">
        <v>60685.53</v>
      </c>
      <c r="T263" s="2">
        <v>605751.32999999996</v>
      </c>
      <c r="U263" s="12">
        <f t="shared" si="14"/>
        <v>617199.93368083437</v>
      </c>
      <c r="V263">
        <f t="shared" si="15"/>
        <v>-11448.603680834407</v>
      </c>
    </row>
    <row r="264" spans="1:22" ht="14.25">
      <c r="A264" s="2" t="s">
        <v>87</v>
      </c>
      <c r="B264" s="3">
        <v>45717</v>
      </c>
      <c r="C264" s="2" t="s">
        <v>27</v>
      </c>
      <c r="D264" s="2" t="s">
        <v>18</v>
      </c>
      <c r="E264" s="2">
        <v>51450.55</v>
      </c>
      <c r="F264" s="2">
        <v>4902</v>
      </c>
      <c r="G264" s="2">
        <v>8.5999999999999993E-2</v>
      </c>
      <c r="H264" s="2">
        <v>11</v>
      </c>
      <c r="I264" s="2">
        <v>83.7</v>
      </c>
      <c r="J264" s="2">
        <v>6.92</v>
      </c>
      <c r="K264" s="2">
        <v>1</v>
      </c>
      <c r="L264" s="2">
        <v>4.2</v>
      </c>
      <c r="M264" s="5">
        <f t="shared" si="0"/>
        <v>0</v>
      </c>
      <c r="N264" s="5">
        <f t="shared" si="1"/>
        <v>0</v>
      </c>
      <c r="O264" s="5">
        <f t="shared" si="2"/>
        <v>0</v>
      </c>
      <c r="P264" s="5">
        <f t="shared" si="3"/>
        <v>0</v>
      </c>
      <c r="Q264" s="5">
        <f t="shared" si="4"/>
        <v>1</v>
      </c>
      <c r="R264" s="5">
        <f t="shared" si="5"/>
        <v>0</v>
      </c>
      <c r="S264" s="2">
        <v>111610.89</v>
      </c>
      <c r="T264" s="2">
        <v>677640.65</v>
      </c>
      <c r="U264" s="12">
        <f t="shared" si="14"/>
        <v>618646.04034833063</v>
      </c>
      <c r="V264">
        <f t="shared" si="15"/>
        <v>58994.609651669394</v>
      </c>
    </row>
    <row r="265" spans="1:22" ht="14.25">
      <c r="A265" s="2" t="s">
        <v>87</v>
      </c>
      <c r="B265" s="3">
        <v>45748</v>
      </c>
      <c r="C265" s="2" t="s">
        <v>27</v>
      </c>
      <c r="D265" s="2" t="s">
        <v>18</v>
      </c>
      <c r="E265" s="2">
        <v>58688.26</v>
      </c>
      <c r="F265" s="2">
        <v>4022</v>
      </c>
      <c r="G265" s="2">
        <v>0.217</v>
      </c>
      <c r="H265" s="2">
        <v>12</v>
      </c>
      <c r="I265" s="2">
        <v>93.8</v>
      </c>
      <c r="J265" s="2">
        <v>11.78</v>
      </c>
      <c r="K265" s="2">
        <v>0</v>
      </c>
      <c r="L265" s="2">
        <v>3.7</v>
      </c>
      <c r="M265" s="5">
        <f t="shared" si="0"/>
        <v>0</v>
      </c>
      <c r="N265" s="5">
        <f t="shared" si="1"/>
        <v>0</v>
      </c>
      <c r="O265" s="5">
        <f t="shared" si="2"/>
        <v>0</v>
      </c>
      <c r="P265" s="5">
        <f t="shared" si="3"/>
        <v>0</v>
      </c>
      <c r="Q265" s="5">
        <f t="shared" si="4"/>
        <v>1</v>
      </c>
      <c r="R265" s="5">
        <f t="shared" si="5"/>
        <v>0</v>
      </c>
      <c r="S265" s="2">
        <v>78908.350000000006</v>
      </c>
      <c r="T265" s="2">
        <v>636613.23</v>
      </c>
      <c r="U265" s="12">
        <f t="shared" si="14"/>
        <v>594259.94862983387</v>
      </c>
      <c r="V265">
        <f t="shared" si="15"/>
        <v>42353.281370166107</v>
      </c>
    </row>
    <row r="266" spans="1:22" ht="14.25">
      <c r="A266" s="2" t="s">
        <v>88</v>
      </c>
      <c r="B266" s="3">
        <v>45658</v>
      </c>
      <c r="C266" s="2" t="s">
        <v>15</v>
      </c>
      <c r="D266" s="2" t="s">
        <v>18</v>
      </c>
      <c r="E266" s="2">
        <v>58981.91</v>
      </c>
      <c r="F266" s="2">
        <v>7324</v>
      </c>
      <c r="G266" s="2">
        <v>9.4E-2</v>
      </c>
      <c r="H266" s="2">
        <v>15</v>
      </c>
      <c r="I266" s="2">
        <v>95.8</v>
      </c>
      <c r="J266" s="2">
        <v>0.5</v>
      </c>
      <c r="K266" s="2">
        <v>0</v>
      </c>
      <c r="L266" s="2">
        <v>3.5</v>
      </c>
      <c r="M266" s="5">
        <f t="shared" si="0"/>
        <v>0</v>
      </c>
      <c r="N266" s="5">
        <f t="shared" si="1"/>
        <v>0</v>
      </c>
      <c r="O266" s="5">
        <f t="shared" si="2"/>
        <v>1</v>
      </c>
      <c r="P266" s="5">
        <f t="shared" si="3"/>
        <v>0</v>
      </c>
      <c r="Q266" s="5">
        <f t="shared" si="4"/>
        <v>1</v>
      </c>
      <c r="R266" s="5">
        <f t="shared" si="5"/>
        <v>0</v>
      </c>
      <c r="S266" s="2">
        <v>125368.16</v>
      </c>
      <c r="T266" s="2">
        <v>708985.19</v>
      </c>
      <c r="U266" s="12">
        <f t="shared" si="14"/>
        <v>717590.43084703968</v>
      </c>
      <c r="V266">
        <f t="shared" si="15"/>
        <v>-8605.2408470397349</v>
      </c>
    </row>
    <row r="267" spans="1:22" ht="14.25">
      <c r="A267" s="2" t="s">
        <v>88</v>
      </c>
      <c r="B267" s="3">
        <v>45689</v>
      </c>
      <c r="C267" s="2" t="s">
        <v>15</v>
      </c>
      <c r="D267" s="2" t="s">
        <v>18</v>
      </c>
      <c r="E267" s="2">
        <v>73454.539999999994</v>
      </c>
      <c r="F267" s="2">
        <v>8129</v>
      </c>
      <c r="G267" s="2">
        <v>0.21099999999999999</v>
      </c>
      <c r="H267" s="2">
        <v>20</v>
      </c>
      <c r="I267" s="2">
        <v>85.2</v>
      </c>
      <c r="J267" s="2">
        <v>0.88</v>
      </c>
      <c r="K267" s="2">
        <v>0</v>
      </c>
      <c r="L267" s="2">
        <v>3.7</v>
      </c>
      <c r="M267" s="5">
        <f t="shared" si="0"/>
        <v>0</v>
      </c>
      <c r="N267" s="5">
        <f t="shared" si="1"/>
        <v>0</v>
      </c>
      <c r="O267" s="5">
        <f t="shared" si="2"/>
        <v>1</v>
      </c>
      <c r="P267" s="5">
        <f t="shared" si="3"/>
        <v>0</v>
      </c>
      <c r="Q267" s="5">
        <f t="shared" si="4"/>
        <v>1</v>
      </c>
      <c r="R267" s="5">
        <f t="shared" si="5"/>
        <v>0</v>
      </c>
      <c r="S267" s="2">
        <v>96235.77</v>
      </c>
      <c r="T267" s="2">
        <v>767792.94</v>
      </c>
      <c r="U267" s="12">
        <f t="shared" si="14"/>
        <v>738559.44469480379</v>
      </c>
      <c r="V267">
        <f t="shared" si="15"/>
        <v>29233.495305196149</v>
      </c>
    </row>
    <row r="268" spans="1:22" ht="14.25">
      <c r="A268" s="2" t="s">
        <v>88</v>
      </c>
      <c r="B268" s="3">
        <v>45717</v>
      </c>
      <c r="C268" s="2" t="s">
        <v>15</v>
      </c>
      <c r="D268" s="2" t="s">
        <v>18</v>
      </c>
      <c r="E268" s="2">
        <v>56602.39</v>
      </c>
      <c r="F268" s="2">
        <v>7969</v>
      </c>
      <c r="G268" s="2">
        <v>0.17</v>
      </c>
      <c r="H268" s="2">
        <v>21</v>
      </c>
      <c r="I268" s="2">
        <v>88.3</v>
      </c>
      <c r="J268" s="2">
        <v>2.25</v>
      </c>
      <c r="K268" s="2">
        <v>0</v>
      </c>
      <c r="L268" s="2">
        <v>3.7</v>
      </c>
      <c r="M268" s="5">
        <f t="shared" si="0"/>
        <v>0</v>
      </c>
      <c r="N268" s="5">
        <f t="shared" si="1"/>
        <v>0</v>
      </c>
      <c r="O268" s="5">
        <f t="shared" si="2"/>
        <v>1</v>
      </c>
      <c r="P268" s="5">
        <f t="shared" si="3"/>
        <v>0</v>
      </c>
      <c r="Q268" s="5">
        <f t="shared" si="4"/>
        <v>1</v>
      </c>
      <c r="R268" s="5">
        <f t="shared" si="5"/>
        <v>0</v>
      </c>
      <c r="S268" s="2">
        <v>116273.68</v>
      </c>
      <c r="T268" s="2">
        <v>745580.51</v>
      </c>
      <c r="U268" s="12">
        <f t="shared" si="14"/>
        <v>723777.76940207591</v>
      </c>
      <c r="V268">
        <f t="shared" si="15"/>
        <v>21802.740597924101</v>
      </c>
    </row>
    <row r="269" spans="1:22" ht="14.25">
      <c r="A269" s="2" t="s">
        <v>88</v>
      </c>
      <c r="B269" s="3">
        <v>45748</v>
      </c>
      <c r="C269" s="2" t="s">
        <v>15</v>
      </c>
      <c r="D269" s="2" t="s">
        <v>18</v>
      </c>
      <c r="E269" s="2">
        <v>67722.289999999994</v>
      </c>
      <c r="F269" s="2">
        <v>7240</v>
      </c>
      <c r="G269" s="2">
        <v>2.5999999999999999E-2</v>
      </c>
      <c r="H269" s="2">
        <v>15</v>
      </c>
      <c r="I269" s="2">
        <v>92.9</v>
      </c>
      <c r="J269" s="2">
        <v>0.28999999999999998</v>
      </c>
      <c r="K269" s="2">
        <v>0</v>
      </c>
      <c r="L269" s="2">
        <v>3.5</v>
      </c>
      <c r="M269" s="5">
        <f t="shared" si="0"/>
        <v>0</v>
      </c>
      <c r="N269" s="5">
        <f t="shared" si="1"/>
        <v>0</v>
      </c>
      <c r="O269" s="5">
        <f t="shared" si="2"/>
        <v>1</v>
      </c>
      <c r="P269" s="5">
        <f t="shared" si="3"/>
        <v>0</v>
      </c>
      <c r="Q269" s="5">
        <f t="shared" si="4"/>
        <v>1</v>
      </c>
      <c r="R269" s="5">
        <f t="shared" si="5"/>
        <v>0</v>
      </c>
      <c r="S269" s="2">
        <v>159158.19</v>
      </c>
      <c r="T269" s="2">
        <v>762328.31</v>
      </c>
      <c r="U269" s="12">
        <f t="shared" si="14"/>
        <v>720515.55222720653</v>
      </c>
      <c r="V269">
        <f t="shared" si="15"/>
        <v>41812.757772793528</v>
      </c>
    </row>
    <row r="270" spans="1:22" ht="14.25">
      <c r="A270" s="2" t="s">
        <v>89</v>
      </c>
      <c r="B270" s="3">
        <v>45658</v>
      </c>
      <c r="C270" s="2" t="s">
        <v>15</v>
      </c>
      <c r="D270" s="2" t="s">
        <v>28</v>
      </c>
      <c r="E270" s="2">
        <v>48752.92</v>
      </c>
      <c r="F270" s="2">
        <v>8052</v>
      </c>
      <c r="G270" s="2">
        <v>0.106</v>
      </c>
      <c r="H270" s="2">
        <v>16</v>
      </c>
      <c r="I270" s="2">
        <v>94.9</v>
      </c>
      <c r="J270" s="2">
        <v>0.65</v>
      </c>
      <c r="K270" s="2">
        <v>0</v>
      </c>
      <c r="L270" s="2">
        <v>3.6</v>
      </c>
      <c r="M270" s="5">
        <f t="shared" si="0"/>
        <v>0</v>
      </c>
      <c r="N270" s="5">
        <f t="shared" si="1"/>
        <v>0</v>
      </c>
      <c r="O270" s="5">
        <f t="shared" si="2"/>
        <v>1</v>
      </c>
      <c r="P270" s="5">
        <f t="shared" si="3"/>
        <v>1</v>
      </c>
      <c r="Q270" s="5">
        <f t="shared" si="4"/>
        <v>0</v>
      </c>
      <c r="R270" s="5">
        <f t="shared" si="5"/>
        <v>0</v>
      </c>
      <c r="S270" s="2">
        <v>118768.66</v>
      </c>
      <c r="T270" s="2">
        <v>660633.99</v>
      </c>
      <c r="U270" s="12">
        <f t="shared" si="14"/>
        <v>738721.15073475672</v>
      </c>
      <c r="V270">
        <f t="shared" si="15"/>
        <v>-78087.160734756733</v>
      </c>
    </row>
    <row r="271" spans="1:22" ht="14.25">
      <c r="A271" s="2" t="s">
        <v>89</v>
      </c>
      <c r="B271" s="3">
        <v>45689</v>
      </c>
      <c r="C271" s="2" t="s">
        <v>15</v>
      </c>
      <c r="D271" s="2" t="s">
        <v>28</v>
      </c>
      <c r="E271" s="2">
        <v>23914.97</v>
      </c>
      <c r="F271" s="2">
        <v>8018</v>
      </c>
      <c r="G271" s="2">
        <v>0.13900000000000001</v>
      </c>
      <c r="H271" s="2">
        <v>20</v>
      </c>
      <c r="I271" s="2">
        <v>89</v>
      </c>
      <c r="J271" s="2">
        <v>0.2</v>
      </c>
      <c r="K271" s="2">
        <v>0</v>
      </c>
      <c r="L271" s="2">
        <v>3.5</v>
      </c>
      <c r="M271" s="5">
        <f t="shared" si="0"/>
        <v>0</v>
      </c>
      <c r="N271" s="5">
        <f t="shared" si="1"/>
        <v>0</v>
      </c>
      <c r="O271" s="5">
        <f t="shared" si="2"/>
        <v>1</v>
      </c>
      <c r="P271" s="5">
        <f t="shared" si="3"/>
        <v>1</v>
      </c>
      <c r="Q271" s="5">
        <f t="shared" si="4"/>
        <v>0</v>
      </c>
      <c r="R271" s="5">
        <f t="shared" si="5"/>
        <v>0</v>
      </c>
      <c r="S271" s="2">
        <v>121032.29</v>
      </c>
      <c r="T271" s="2">
        <v>739374.56</v>
      </c>
      <c r="U271" s="12">
        <f t="shared" si="14"/>
        <v>702641.31120471528</v>
      </c>
      <c r="V271">
        <f t="shared" si="15"/>
        <v>36733.248795284773</v>
      </c>
    </row>
    <row r="272" spans="1:22" ht="14.25">
      <c r="A272" s="2" t="s">
        <v>89</v>
      </c>
      <c r="B272" s="3">
        <v>45717</v>
      </c>
      <c r="C272" s="2" t="s">
        <v>15</v>
      </c>
      <c r="D272" s="2" t="s">
        <v>28</v>
      </c>
      <c r="E272" s="2">
        <v>61995.3</v>
      </c>
      <c r="F272" s="2">
        <v>10192</v>
      </c>
      <c r="G272" s="2">
        <v>0.19800000000000001</v>
      </c>
      <c r="H272" s="2">
        <v>21</v>
      </c>
      <c r="I272" s="2">
        <v>87.6</v>
      </c>
      <c r="J272" s="2">
        <v>3.63</v>
      </c>
      <c r="K272" s="2">
        <v>1</v>
      </c>
      <c r="L272" s="2">
        <v>3.8</v>
      </c>
      <c r="M272" s="5">
        <f t="shared" si="0"/>
        <v>0</v>
      </c>
      <c r="N272" s="5">
        <f t="shared" si="1"/>
        <v>0</v>
      </c>
      <c r="O272" s="5">
        <f t="shared" si="2"/>
        <v>1</v>
      </c>
      <c r="P272" s="5">
        <f t="shared" si="3"/>
        <v>1</v>
      </c>
      <c r="Q272" s="5">
        <f t="shared" si="4"/>
        <v>0</v>
      </c>
      <c r="R272" s="5">
        <f t="shared" si="5"/>
        <v>0</v>
      </c>
      <c r="S272" s="2">
        <v>105052.93</v>
      </c>
      <c r="T272" s="2">
        <v>799756.46</v>
      </c>
      <c r="U272" s="12">
        <f t="shared" si="14"/>
        <v>812050.04951848777</v>
      </c>
      <c r="V272">
        <f t="shared" si="15"/>
        <v>-12293.589518487803</v>
      </c>
    </row>
    <row r="273" spans="1:22" ht="14.25">
      <c r="A273" s="2" t="s">
        <v>89</v>
      </c>
      <c r="B273" s="3">
        <v>45748</v>
      </c>
      <c r="C273" s="2" t="s">
        <v>15</v>
      </c>
      <c r="D273" s="2" t="s">
        <v>28</v>
      </c>
      <c r="E273" s="2">
        <v>29344.93</v>
      </c>
      <c r="F273" s="2">
        <v>7446</v>
      </c>
      <c r="G273" s="2">
        <v>0.111</v>
      </c>
      <c r="H273" s="2">
        <v>15</v>
      </c>
      <c r="I273" s="2">
        <v>86.2</v>
      </c>
      <c r="J273" s="2">
        <v>0.2</v>
      </c>
      <c r="K273" s="2">
        <v>0</v>
      </c>
      <c r="L273" s="2">
        <v>3.2</v>
      </c>
      <c r="M273" s="5">
        <f t="shared" si="0"/>
        <v>0</v>
      </c>
      <c r="N273" s="5">
        <f t="shared" si="1"/>
        <v>0</v>
      </c>
      <c r="O273" s="5">
        <f t="shared" si="2"/>
        <v>1</v>
      </c>
      <c r="P273" s="5">
        <f t="shared" si="3"/>
        <v>1</v>
      </c>
      <c r="Q273" s="5">
        <f t="shared" si="4"/>
        <v>0</v>
      </c>
      <c r="R273" s="5">
        <f t="shared" si="5"/>
        <v>0</v>
      </c>
      <c r="S273" s="2">
        <v>82832.240000000005</v>
      </c>
      <c r="T273" s="2">
        <v>593343</v>
      </c>
      <c r="U273" s="12">
        <f t="shared" si="14"/>
        <v>664860.65624053555</v>
      </c>
      <c r="V273">
        <f t="shared" si="15"/>
        <v>-71517.656240535551</v>
      </c>
    </row>
    <row r="274" spans="1:22" ht="14.25">
      <c r="A274" s="2" t="s">
        <v>90</v>
      </c>
      <c r="B274" s="3">
        <v>45658</v>
      </c>
      <c r="C274" s="2" t="s">
        <v>27</v>
      </c>
      <c r="D274" s="2" t="s">
        <v>18</v>
      </c>
      <c r="E274" s="2">
        <v>50532.17</v>
      </c>
      <c r="F274" s="2">
        <v>5689</v>
      </c>
      <c r="G274" s="2">
        <v>5.1999999999999998E-2</v>
      </c>
      <c r="H274" s="2">
        <v>17</v>
      </c>
      <c r="I274" s="2">
        <v>85.6</v>
      </c>
      <c r="J274" s="2">
        <v>6.23</v>
      </c>
      <c r="K274" s="2">
        <v>0</v>
      </c>
      <c r="L274" s="2">
        <v>3.3</v>
      </c>
      <c r="M274" s="5">
        <f t="shared" si="0"/>
        <v>0</v>
      </c>
      <c r="N274" s="5">
        <f t="shared" si="1"/>
        <v>0</v>
      </c>
      <c r="O274" s="5">
        <f t="shared" si="2"/>
        <v>0</v>
      </c>
      <c r="P274" s="5">
        <f t="shared" si="3"/>
        <v>0</v>
      </c>
      <c r="Q274" s="5">
        <f t="shared" si="4"/>
        <v>1</v>
      </c>
      <c r="R274" s="5">
        <f t="shared" si="5"/>
        <v>0</v>
      </c>
      <c r="S274" s="2">
        <v>83093.33</v>
      </c>
      <c r="T274" s="2">
        <v>645039.97</v>
      </c>
      <c r="U274" s="12">
        <f t="shared" si="14"/>
        <v>643275.80512370763</v>
      </c>
      <c r="V274">
        <f t="shared" si="15"/>
        <v>1764.1648762923433</v>
      </c>
    </row>
    <row r="275" spans="1:22" ht="14.25">
      <c r="A275" s="2" t="s">
        <v>90</v>
      </c>
      <c r="B275" s="3">
        <v>45689</v>
      </c>
      <c r="C275" s="2" t="s">
        <v>27</v>
      </c>
      <c r="D275" s="2" t="s">
        <v>18</v>
      </c>
      <c r="E275" s="2">
        <v>17562.57</v>
      </c>
      <c r="F275" s="2">
        <v>3326</v>
      </c>
      <c r="G275" s="2">
        <v>0.153</v>
      </c>
      <c r="H275" s="2">
        <v>14</v>
      </c>
      <c r="I275" s="2">
        <v>88.1</v>
      </c>
      <c r="J275" s="2">
        <v>1.04</v>
      </c>
      <c r="K275" s="2">
        <v>0</v>
      </c>
      <c r="L275" s="2">
        <v>3.1</v>
      </c>
      <c r="M275" s="5">
        <f t="shared" si="0"/>
        <v>0</v>
      </c>
      <c r="N275" s="5">
        <f t="shared" si="1"/>
        <v>0</v>
      </c>
      <c r="O275" s="5">
        <f t="shared" si="2"/>
        <v>0</v>
      </c>
      <c r="P275" s="5">
        <f t="shared" si="3"/>
        <v>0</v>
      </c>
      <c r="Q275" s="5">
        <f t="shared" si="4"/>
        <v>1</v>
      </c>
      <c r="R275" s="5">
        <f t="shared" si="5"/>
        <v>0</v>
      </c>
      <c r="S275" s="2">
        <v>75072.75</v>
      </c>
      <c r="T275" s="2">
        <v>561597.32999999996</v>
      </c>
      <c r="U275" s="12">
        <f t="shared" si="14"/>
        <v>547096.17633927439</v>
      </c>
      <c r="V275">
        <f t="shared" si="15"/>
        <v>14501.153660725569</v>
      </c>
    </row>
    <row r="276" spans="1:22" ht="14.25">
      <c r="A276" s="2" t="s">
        <v>90</v>
      </c>
      <c r="B276" s="3">
        <v>45717</v>
      </c>
      <c r="C276" s="2" t="s">
        <v>27</v>
      </c>
      <c r="D276" s="2" t="s">
        <v>18</v>
      </c>
      <c r="E276" s="2">
        <v>47648.71</v>
      </c>
      <c r="F276" s="2">
        <v>5767</v>
      </c>
      <c r="G276" s="2">
        <v>0.14099999999999999</v>
      </c>
      <c r="H276" s="2">
        <v>17</v>
      </c>
      <c r="I276" s="2">
        <v>89.8</v>
      </c>
      <c r="J276" s="2">
        <v>1.76</v>
      </c>
      <c r="K276" s="2">
        <v>0</v>
      </c>
      <c r="L276" s="2">
        <v>3.1</v>
      </c>
      <c r="M276" s="5">
        <f t="shared" si="0"/>
        <v>0</v>
      </c>
      <c r="N276" s="5">
        <f t="shared" si="1"/>
        <v>0</v>
      </c>
      <c r="O276" s="5">
        <f t="shared" si="2"/>
        <v>0</v>
      </c>
      <c r="P276" s="5">
        <f t="shared" si="3"/>
        <v>0</v>
      </c>
      <c r="Q276" s="5">
        <f t="shared" si="4"/>
        <v>1</v>
      </c>
      <c r="R276" s="5">
        <f t="shared" si="5"/>
        <v>0</v>
      </c>
      <c r="S276" s="2">
        <v>114740.64</v>
      </c>
      <c r="T276" s="2">
        <v>635837.74</v>
      </c>
      <c r="U276" s="12">
        <f t="shared" si="14"/>
        <v>663976.34096115513</v>
      </c>
      <c r="V276">
        <f t="shared" si="15"/>
        <v>-28138.600961155142</v>
      </c>
    </row>
    <row r="277" spans="1:22" ht="14.25">
      <c r="A277" s="2" t="s">
        <v>90</v>
      </c>
      <c r="B277" s="3">
        <v>45748</v>
      </c>
      <c r="C277" s="2" t="s">
        <v>27</v>
      </c>
      <c r="D277" s="2" t="s">
        <v>18</v>
      </c>
      <c r="E277" s="2">
        <v>38297.58</v>
      </c>
      <c r="F277" s="2">
        <v>5893</v>
      </c>
      <c r="G277" s="2">
        <v>0.247</v>
      </c>
      <c r="H277" s="2">
        <v>18</v>
      </c>
      <c r="I277" s="2">
        <v>77.599999999999994</v>
      </c>
      <c r="J277" s="2">
        <v>2.86</v>
      </c>
      <c r="K277" s="2">
        <v>0</v>
      </c>
      <c r="L277" s="2">
        <v>3</v>
      </c>
      <c r="M277" s="5">
        <f t="shared" si="0"/>
        <v>0</v>
      </c>
      <c r="N277" s="5">
        <f t="shared" si="1"/>
        <v>0</v>
      </c>
      <c r="O277" s="5">
        <f t="shared" si="2"/>
        <v>0</v>
      </c>
      <c r="P277" s="5">
        <f t="shared" si="3"/>
        <v>0</v>
      </c>
      <c r="Q277" s="5">
        <f t="shared" si="4"/>
        <v>1</v>
      </c>
      <c r="R277" s="5">
        <f t="shared" si="5"/>
        <v>0</v>
      </c>
      <c r="S277" s="2">
        <v>83839.67</v>
      </c>
      <c r="T277" s="2">
        <v>686737.87</v>
      </c>
      <c r="U277" s="12">
        <f>66915.46892
+(1.209928492*E277)
+(27.33619482*F277)
+(-41243.14883*G277)
+(3508.399163*H277)
+(3062.210286*I277)
+(-3438.10791*J277)
+(15157.28728*K277)
+(12509.46131*L277)
+(-15342.70531*M277)
+(-4201.853217*N277)
+(-25291.41891*O277)
+(32832.85351*P277)
+(20219.25907*Q277)
+(44695.0949*R277)</f>
        <v>612851.29795489938</v>
      </c>
      <c r="V277">
        <f t="shared" si="15"/>
        <v>73886.57204510062</v>
      </c>
    </row>
    <row r="278" spans="1:22" ht="14.25">
      <c r="A278" s="2" t="s">
        <v>91</v>
      </c>
      <c r="B278" s="3">
        <v>45658</v>
      </c>
      <c r="C278" s="2" t="s">
        <v>24</v>
      </c>
      <c r="D278" s="2" t="s">
        <v>16</v>
      </c>
      <c r="E278" s="2">
        <v>61784.11</v>
      </c>
      <c r="F278" s="2">
        <v>8564</v>
      </c>
      <c r="G278" s="2">
        <v>0.13</v>
      </c>
      <c r="H278" s="2">
        <v>17</v>
      </c>
      <c r="I278" s="2">
        <v>87.4</v>
      </c>
      <c r="J278" s="2">
        <v>18.14</v>
      </c>
      <c r="K278" s="2">
        <v>1</v>
      </c>
      <c r="L278" s="2">
        <v>3.4</v>
      </c>
      <c r="M278" s="5">
        <f t="shared" si="0"/>
        <v>0</v>
      </c>
      <c r="N278" s="5">
        <f t="shared" si="1"/>
        <v>1</v>
      </c>
      <c r="O278" s="5">
        <f t="shared" si="2"/>
        <v>0</v>
      </c>
      <c r="P278" s="5">
        <f t="shared" si="3"/>
        <v>0</v>
      </c>
      <c r="Q278" s="5">
        <f t="shared" si="4"/>
        <v>0</v>
      </c>
      <c r="R278" s="5">
        <f t="shared" si="5"/>
        <v>0</v>
      </c>
      <c r="S278" s="2">
        <v>93899.76</v>
      </c>
      <c r="T278" s="2">
        <v>673076.34</v>
      </c>
      <c r="U278" s="12">
        <f t="shared" ref="U278:U321" si="16">66915.46892
+(1.209928492*E278)
+(27.33619482*F278)
+(-41243.14883*G278)
+(3508.399163*H278)
+(3062.210286*I278)
+(-3438.10791*J278)
+(15157.28728*K278)
+(12509.46131*L278)
+(-15342.70531*M278)
+(-4201.853217*N278)
+(-25291.41891*O278)
+(32832.85351*P278)
+(20219.25907*Q278)
+(44695.0949*R278)</f>
        <v>688815.67684944218</v>
      </c>
      <c r="V278">
        <f t="shared" si="15"/>
        <v>-15739.336849442217</v>
      </c>
    </row>
    <row r="279" spans="1:22" ht="14.25">
      <c r="A279" s="2" t="s">
        <v>91</v>
      </c>
      <c r="B279" s="3">
        <v>45689</v>
      </c>
      <c r="C279" s="2" t="s">
        <v>24</v>
      </c>
      <c r="D279" s="2" t="s">
        <v>16</v>
      </c>
      <c r="E279" s="2">
        <v>36832.33</v>
      </c>
      <c r="F279" s="2">
        <v>8001</v>
      </c>
      <c r="G279" s="2">
        <v>0</v>
      </c>
      <c r="H279" s="2">
        <v>19</v>
      </c>
      <c r="I279" s="2">
        <v>88.7</v>
      </c>
      <c r="J279" s="2">
        <v>3.39</v>
      </c>
      <c r="K279" s="2">
        <v>0</v>
      </c>
      <c r="L279" s="2">
        <v>4</v>
      </c>
      <c r="M279" s="5">
        <f t="shared" si="0"/>
        <v>0</v>
      </c>
      <c r="N279" s="5">
        <f t="shared" si="1"/>
        <v>1</v>
      </c>
      <c r="O279" s="5">
        <f t="shared" si="2"/>
        <v>0</v>
      </c>
      <c r="P279" s="5">
        <f t="shared" si="3"/>
        <v>0</v>
      </c>
      <c r="Q279" s="5">
        <f t="shared" si="4"/>
        <v>0</v>
      </c>
      <c r="R279" s="5">
        <f t="shared" si="5"/>
        <v>0</v>
      </c>
      <c r="S279" s="2">
        <v>134282.76999999999</v>
      </c>
      <c r="T279" s="2">
        <v>738548.42</v>
      </c>
      <c r="U279" s="12">
        <f t="shared" si="16"/>
        <v>702655.29184186656</v>
      </c>
      <c r="V279">
        <f t="shared" si="15"/>
        <v>35893.128158133477</v>
      </c>
    </row>
    <row r="280" spans="1:22" ht="14.25">
      <c r="A280" s="2" t="s">
        <v>91</v>
      </c>
      <c r="B280" s="3">
        <v>45717</v>
      </c>
      <c r="C280" s="2" t="s">
        <v>24</v>
      </c>
      <c r="D280" s="2" t="s">
        <v>16</v>
      </c>
      <c r="E280" s="2">
        <v>48609.41</v>
      </c>
      <c r="F280" s="2">
        <v>9324</v>
      </c>
      <c r="G280" s="2">
        <v>0.21299999999999999</v>
      </c>
      <c r="H280" s="2">
        <v>18</v>
      </c>
      <c r="I280" s="2">
        <v>86.5</v>
      </c>
      <c r="J280" s="2">
        <v>1.44</v>
      </c>
      <c r="K280" s="2">
        <v>0</v>
      </c>
      <c r="L280" s="2">
        <v>3.9</v>
      </c>
      <c r="M280" s="5">
        <f t="shared" si="0"/>
        <v>0</v>
      </c>
      <c r="N280" s="5">
        <f t="shared" si="1"/>
        <v>1</v>
      </c>
      <c r="O280" s="5">
        <f t="shared" si="2"/>
        <v>0</v>
      </c>
      <c r="P280" s="5">
        <f t="shared" si="3"/>
        <v>0</v>
      </c>
      <c r="Q280" s="5">
        <f t="shared" si="4"/>
        <v>0</v>
      </c>
      <c r="R280" s="5">
        <f t="shared" si="5"/>
        <v>0</v>
      </c>
      <c r="S280" s="2">
        <v>112057.69</v>
      </c>
      <c r="T280" s="2">
        <v>756619.77</v>
      </c>
      <c r="U280" s="12">
        <f t="shared" si="16"/>
        <v>739493.8140337998</v>
      </c>
      <c r="V280">
        <f t="shared" si="15"/>
        <v>17125.955966200214</v>
      </c>
    </row>
    <row r="281" spans="1:22" ht="14.25">
      <c r="A281" s="2" t="s">
        <v>91</v>
      </c>
      <c r="B281" s="3">
        <v>45748</v>
      </c>
      <c r="C281" s="2" t="s">
        <v>24</v>
      </c>
      <c r="D281" s="2" t="s">
        <v>16</v>
      </c>
      <c r="E281" s="2">
        <v>70284.06</v>
      </c>
      <c r="F281" s="2">
        <v>9109</v>
      </c>
      <c r="G281" s="2">
        <v>4.0000000000000001E-3</v>
      </c>
      <c r="H281" s="2">
        <v>23</v>
      </c>
      <c r="I281" s="2">
        <v>87</v>
      </c>
      <c r="J281" s="2">
        <v>3.65</v>
      </c>
      <c r="K281" s="2">
        <v>0</v>
      </c>
      <c r="L281" s="2">
        <v>3.7</v>
      </c>
      <c r="M281" s="5">
        <f t="shared" si="0"/>
        <v>0</v>
      </c>
      <c r="N281" s="5">
        <f t="shared" si="1"/>
        <v>1</v>
      </c>
      <c r="O281" s="5">
        <f t="shared" si="2"/>
        <v>0</v>
      </c>
      <c r="P281" s="5">
        <f t="shared" si="3"/>
        <v>0</v>
      </c>
      <c r="Q281" s="5">
        <f t="shared" si="4"/>
        <v>0</v>
      </c>
      <c r="R281" s="5">
        <f t="shared" si="5"/>
        <v>0</v>
      </c>
      <c r="S281" s="2">
        <v>149802.04</v>
      </c>
      <c r="T281" s="2">
        <v>761122.42</v>
      </c>
      <c r="U281" s="12">
        <f t="shared" si="16"/>
        <v>777434.11705699749</v>
      </c>
      <c r="V281">
        <f t="shared" si="15"/>
        <v>-16311.697056997451</v>
      </c>
    </row>
    <row r="282" spans="1:22" ht="14.25">
      <c r="A282" s="2" t="s">
        <v>92</v>
      </c>
      <c r="B282" s="3">
        <v>45658</v>
      </c>
      <c r="C282" s="2" t="s">
        <v>24</v>
      </c>
      <c r="D282" s="2" t="s">
        <v>18</v>
      </c>
      <c r="E282" s="2">
        <v>45940.39</v>
      </c>
      <c r="F282" s="2">
        <v>4022</v>
      </c>
      <c r="G282" s="2">
        <v>6.9000000000000006E-2</v>
      </c>
      <c r="H282" s="2">
        <v>10</v>
      </c>
      <c r="I282" s="2">
        <v>83</v>
      </c>
      <c r="J282" s="2">
        <v>1.23</v>
      </c>
      <c r="K282" s="2">
        <v>1</v>
      </c>
      <c r="L282" s="2">
        <v>3.8</v>
      </c>
      <c r="M282" s="5">
        <f t="shared" si="0"/>
        <v>0</v>
      </c>
      <c r="N282" s="5">
        <f t="shared" si="1"/>
        <v>1</v>
      </c>
      <c r="O282" s="5">
        <f t="shared" si="2"/>
        <v>0</v>
      </c>
      <c r="P282" s="5">
        <f t="shared" si="3"/>
        <v>0</v>
      </c>
      <c r="Q282" s="5">
        <f t="shared" si="4"/>
        <v>1</v>
      </c>
      <c r="R282" s="5">
        <f t="shared" si="5"/>
        <v>0</v>
      </c>
      <c r="S282" s="2">
        <v>63619.98</v>
      </c>
      <c r="T282" s="2">
        <v>524899.56999999995</v>
      </c>
      <c r="U282" s="12">
        <f t="shared" si="16"/>
        <v>593329.67276106193</v>
      </c>
      <c r="V282">
        <f t="shared" si="15"/>
        <v>-68430.102761061979</v>
      </c>
    </row>
    <row r="283" spans="1:22" ht="14.25">
      <c r="A283" s="2" t="s">
        <v>92</v>
      </c>
      <c r="B283" s="3">
        <v>45689</v>
      </c>
      <c r="C283" s="2" t="s">
        <v>24</v>
      </c>
      <c r="D283" s="2" t="s">
        <v>18</v>
      </c>
      <c r="E283" s="2">
        <v>34771.26</v>
      </c>
      <c r="F283" s="2">
        <v>4355</v>
      </c>
      <c r="G283" s="2">
        <v>5.0999999999999997E-2</v>
      </c>
      <c r="H283" s="2">
        <v>15</v>
      </c>
      <c r="I283" s="2">
        <v>87.9</v>
      </c>
      <c r="J283" s="2">
        <v>3.09</v>
      </c>
      <c r="K283" s="2">
        <v>0</v>
      </c>
      <c r="L283" s="2">
        <v>4</v>
      </c>
      <c r="M283" s="5">
        <f t="shared" si="0"/>
        <v>0</v>
      </c>
      <c r="N283" s="5">
        <f t="shared" si="1"/>
        <v>1</v>
      </c>
      <c r="O283" s="5">
        <f t="shared" si="2"/>
        <v>0</v>
      </c>
      <c r="P283" s="5">
        <f t="shared" si="3"/>
        <v>0</v>
      </c>
      <c r="Q283" s="5">
        <f t="shared" si="4"/>
        <v>1</v>
      </c>
      <c r="R283" s="5">
        <f t="shared" si="5"/>
        <v>0</v>
      </c>
      <c r="S283" s="2">
        <v>86475.51</v>
      </c>
      <c r="T283" s="2">
        <v>555557.77</v>
      </c>
      <c r="U283" s="12">
        <f t="shared" si="16"/>
        <v>603157.70418300992</v>
      </c>
      <c r="V283">
        <f t="shared" si="15"/>
        <v>-47599.9341830099</v>
      </c>
    </row>
    <row r="284" spans="1:22" ht="14.25">
      <c r="A284" s="2" t="s">
        <v>92</v>
      </c>
      <c r="B284" s="3">
        <v>45717</v>
      </c>
      <c r="C284" s="2" t="s">
        <v>24</v>
      </c>
      <c r="D284" s="2" t="s">
        <v>18</v>
      </c>
      <c r="E284" s="2">
        <v>66104.19</v>
      </c>
      <c r="F284" s="2">
        <v>5745</v>
      </c>
      <c r="G284" s="2">
        <v>7.0000000000000007E-2</v>
      </c>
      <c r="H284" s="2">
        <v>17</v>
      </c>
      <c r="I284" s="2">
        <v>95.8</v>
      </c>
      <c r="J284" s="2">
        <v>3.15</v>
      </c>
      <c r="K284" s="2">
        <v>0</v>
      </c>
      <c r="L284" s="2">
        <v>4</v>
      </c>
      <c r="M284" s="5">
        <f t="shared" si="0"/>
        <v>0</v>
      </c>
      <c r="N284" s="5">
        <f t="shared" si="1"/>
        <v>1</v>
      </c>
      <c r="O284" s="5">
        <f t="shared" si="2"/>
        <v>0</v>
      </c>
      <c r="P284" s="5">
        <f t="shared" si="3"/>
        <v>0</v>
      </c>
      <c r="Q284" s="5">
        <f t="shared" si="4"/>
        <v>1</v>
      </c>
      <c r="R284" s="5">
        <f t="shared" si="5"/>
        <v>0</v>
      </c>
      <c r="S284" s="2">
        <v>127231.74</v>
      </c>
      <c r="T284" s="2">
        <v>714083.68</v>
      </c>
      <c r="U284" s="12">
        <f t="shared" si="16"/>
        <v>709283.97301068157</v>
      </c>
      <c r="V284">
        <f t="shared" si="15"/>
        <v>4799.7069893184816</v>
      </c>
    </row>
    <row r="285" spans="1:22" ht="14.25">
      <c r="A285" s="2" t="s">
        <v>92</v>
      </c>
      <c r="B285" s="3">
        <v>45748</v>
      </c>
      <c r="C285" s="2" t="s">
        <v>24</v>
      </c>
      <c r="D285" s="2" t="s">
        <v>18</v>
      </c>
      <c r="E285" s="2">
        <v>18599.21</v>
      </c>
      <c r="F285" s="2">
        <v>3027</v>
      </c>
      <c r="G285" s="2">
        <v>0.122</v>
      </c>
      <c r="H285" s="2">
        <v>11</v>
      </c>
      <c r="I285" s="2">
        <v>80.900000000000006</v>
      </c>
      <c r="J285" s="2">
        <v>6.44</v>
      </c>
      <c r="K285" s="2">
        <v>0</v>
      </c>
      <c r="L285" s="2">
        <v>4.2</v>
      </c>
      <c r="M285" s="5">
        <f t="shared" si="0"/>
        <v>0</v>
      </c>
      <c r="N285" s="5">
        <f t="shared" si="1"/>
        <v>1</v>
      </c>
      <c r="O285" s="5">
        <f t="shared" si="2"/>
        <v>0</v>
      </c>
      <c r="P285" s="5">
        <f t="shared" si="3"/>
        <v>0</v>
      </c>
      <c r="Q285" s="5">
        <f t="shared" si="4"/>
        <v>1</v>
      </c>
      <c r="R285" s="5">
        <f t="shared" si="5"/>
        <v>0</v>
      </c>
      <c r="S285" s="2">
        <v>93372.75</v>
      </c>
      <c r="T285" s="2">
        <v>497439.82</v>
      </c>
      <c r="U285" s="12">
        <f t="shared" si="16"/>
        <v>499875.1119355713</v>
      </c>
      <c r="V285">
        <f t="shared" si="15"/>
        <v>-2435.2919355712947</v>
      </c>
    </row>
    <row r="286" spans="1:22" ht="14.25">
      <c r="A286" s="2" t="s">
        <v>93</v>
      </c>
      <c r="B286" s="3">
        <v>45658</v>
      </c>
      <c r="C286" s="2" t="s">
        <v>27</v>
      </c>
      <c r="D286" s="2" t="s">
        <v>16</v>
      </c>
      <c r="E286" s="2">
        <v>60183.06</v>
      </c>
      <c r="F286" s="2">
        <v>5562</v>
      </c>
      <c r="G286" s="2">
        <v>8.9999999999999993E-3</v>
      </c>
      <c r="H286" s="2">
        <v>13</v>
      </c>
      <c r="I286" s="2">
        <v>86.3</v>
      </c>
      <c r="J286" s="2">
        <v>0.2</v>
      </c>
      <c r="K286" s="2">
        <v>1</v>
      </c>
      <c r="L286" s="2">
        <v>4.5</v>
      </c>
      <c r="M286" s="5">
        <f t="shared" si="0"/>
        <v>0</v>
      </c>
      <c r="N286" s="5">
        <f t="shared" si="1"/>
        <v>0</v>
      </c>
      <c r="O286" s="5">
        <f t="shared" si="2"/>
        <v>0</v>
      </c>
      <c r="P286" s="5">
        <f t="shared" si="3"/>
        <v>0</v>
      </c>
      <c r="Q286" s="5">
        <f t="shared" si="4"/>
        <v>0</v>
      </c>
      <c r="R286" s="5">
        <f t="shared" si="5"/>
        <v>0</v>
      </c>
      <c r="S286" s="2">
        <v>122636.86</v>
      </c>
      <c r="T286" s="2">
        <v>636775.66</v>
      </c>
      <c r="U286" s="12">
        <f t="shared" si="16"/>
        <v>672045.57359291543</v>
      </c>
      <c r="V286">
        <f t="shared" si="15"/>
        <v>-35269.9135929154</v>
      </c>
    </row>
    <row r="287" spans="1:22" ht="14.25">
      <c r="A287" s="2" t="s">
        <v>93</v>
      </c>
      <c r="B287" s="3">
        <v>45689</v>
      </c>
      <c r="C287" s="2" t="s">
        <v>27</v>
      </c>
      <c r="D287" s="2" t="s">
        <v>16</v>
      </c>
      <c r="E287" s="2">
        <v>74539.14</v>
      </c>
      <c r="F287" s="2">
        <v>4487</v>
      </c>
      <c r="G287" s="2">
        <v>0.14000000000000001</v>
      </c>
      <c r="H287" s="2">
        <v>10</v>
      </c>
      <c r="I287" s="2">
        <v>90.4</v>
      </c>
      <c r="J287" s="2">
        <v>0.59</v>
      </c>
      <c r="K287" s="2">
        <v>0</v>
      </c>
      <c r="L287" s="2">
        <v>4.5</v>
      </c>
      <c r="M287" s="5">
        <f t="shared" si="0"/>
        <v>0</v>
      </c>
      <c r="N287" s="5">
        <f t="shared" si="1"/>
        <v>0</v>
      </c>
      <c r="O287" s="5">
        <f t="shared" si="2"/>
        <v>0</v>
      </c>
      <c r="P287" s="5">
        <f t="shared" si="3"/>
        <v>0</v>
      </c>
      <c r="Q287" s="5">
        <f t="shared" si="4"/>
        <v>0</v>
      </c>
      <c r="R287" s="5">
        <f t="shared" si="5"/>
        <v>0</v>
      </c>
      <c r="S287" s="2">
        <v>123782.67</v>
      </c>
      <c r="T287" s="2">
        <v>633009.53</v>
      </c>
      <c r="U287" s="12">
        <f t="shared" si="16"/>
        <v>640157.85720881692</v>
      </c>
      <c r="V287">
        <f t="shared" si="15"/>
        <v>-7148.3272088168887</v>
      </c>
    </row>
    <row r="288" spans="1:22" ht="14.25">
      <c r="A288" s="2" t="s">
        <v>93</v>
      </c>
      <c r="B288" s="3">
        <v>45717</v>
      </c>
      <c r="C288" s="2" t="s">
        <v>27</v>
      </c>
      <c r="D288" s="2" t="s">
        <v>16</v>
      </c>
      <c r="E288" s="2">
        <v>55371.97</v>
      </c>
      <c r="F288" s="2">
        <v>4162</v>
      </c>
      <c r="G288" s="2">
        <v>0.183</v>
      </c>
      <c r="H288" s="2">
        <v>11</v>
      </c>
      <c r="I288" s="2">
        <v>92</v>
      </c>
      <c r="J288" s="2">
        <v>0.2</v>
      </c>
      <c r="K288" s="2">
        <v>1</v>
      </c>
      <c r="L288" s="2">
        <v>4.2</v>
      </c>
      <c r="M288" s="5">
        <f t="shared" si="0"/>
        <v>0</v>
      </c>
      <c r="N288" s="5">
        <f t="shared" si="1"/>
        <v>0</v>
      </c>
      <c r="O288" s="5">
        <f t="shared" si="2"/>
        <v>0</v>
      </c>
      <c r="P288" s="5">
        <f t="shared" si="3"/>
        <v>0</v>
      </c>
      <c r="Q288" s="5">
        <f t="shared" si="4"/>
        <v>0</v>
      </c>
      <c r="R288" s="5">
        <f t="shared" si="5"/>
        <v>0</v>
      </c>
      <c r="S288" s="2">
        <v>126789.25</v>
      </c>
      <c r="T288" s="2">
        <v>609949</v>
      </c>
      <c r="U288" s="12">
        <f t="shared" si="16"/>
        <v>627462.47999111935</v>
      </c>
      <c r="V288">
        <f t="shared" si="15"/>
        <v>-17513.479991119355</v>
      </c>
    </row>
    <row r="289" spans="1:22" ht="14.25">
      <c r="A289" s="2" t="s">
        <v>93</v>
      </c>
      <c r="B289" s="3">
        <v>45748</v>
      </c>
      <c r="C289" s="2" t="s">
        <v>27</v>
      </c>
      <c r="D289" s="2" t="s">
        <v>16</v>
      </c>
      <c r="E289" s="2">
        <v>40928.69</v>
      </c>
      <c r="F289" s="2">
        <v>4094</v>
      </c>
      <c r="G289" s="2">
        <v>0.17399999999999999</v>
      </c>
      <c r="H289" s="2">
        <v>13</v>
      </c>
      <c r="I289" s="2">
        <v>82.4</v>
      </c>
      <c r="J289" s="2">
        <v>1.36</v>
      </c>
      <c r="K289" s="2">
        <v>0</v>
      </c>
      <c r="L289" s="2">
        <v>4.8</v>
      </c>
      <c r="M289" s="5">
        <f t="shared" si="0"/>
        <v>0</v>
      </c>
      <c r="N289" s="5">
        <f t="shared" si="1"/>
        <v>0</v>
      </c>
      <c r="O289" s="5">
        <f t="shared" si="2"/>
        <v>0</v>
      </c>
      <c r="P289" s="5">
        <f t="shared" si="3"/>
        <v>0</v>
      </c>
      <c r="Q289" s="5">
        <f t="shared" si="4"/>
        <v>0</v>
      </c>
      <c r="R289" s="5">
        <f t="shared" si="5"/>
        <v>0</v>
      </c>
      <c r="S289" s="2">
        <v>99905.52</v>
      </c>
      <c r="T289" s="2">
        <v>548103.69999999995</v>
      </c>
      <c r="U289" s="12">
        <f t="shared" si="16"/>
        <v>574479.23500369547</v>
      </c>
      <c r="V289">
        <f t="shared" si="15"/>
        <v>-26375.535003695521</v>
      </c>
    </row>
    <row r="290" spans="1:22" ht="14.25">
      <c r="A290" s="2" t="s">
        <v>94</v>
      </c>
      <c r="B290" s="3">
        <v>45658</v>
      </c>
      <c r="C290" s="2" t="s">
        <v>15</v>
      </c>
      <c r="D290" s="2" t="s">
        <v>16</v>
      </c>
      <c r="E290" s="2">
        <v>70012.41</v>
      </c>
      <c r="F290" s="2">
        <v>8484</v>
      </c>
      <c r="G290" s="2">
        <v>0.27300000000000002</v>
      </c>
      <c r="H290" s="2">
        <v>23</v>
      </c>
      <c r="I290" s="2">
        <v>72.900000000000006</v>
      </c>
      <c r="J290" s="2">
        <v>3.34</v>
      </c>
      <c r="K290" s="2">
        <v>0</v>
      </c>
      <c r="L290" s="2">
        <v>3.7</v>
      </c>
      <c r="M290" s="5">
        <f t="shared" si="0"/>
        <v>0</v>
      </c>
      <c r="N290" s="5">
        <f t="shared" si="1"/>
        <v>0</v>
      </c>
      <c r="O290" s="5">
        <f t="shared" si="2"/>
        <v>1</v>
      </c>
      <c r="P290" s="5">
        <f t="shared" si="3"/>
        <v>0</v>
      </c>
      <c r="Q290" s="5">
        <f t="shared" si="4"/>
        <v>0</v>
      </c>
      <c r="R290" s="5">
        <f t="shared" si="5"/>
        <v>0</v>
      </c>
      <c r="S290" s="2">
        <v>75592.28</v>
      </c>
      <c r="T290" s="2">
        <v>729424.42</v>
      </c>
      <c r="U290" s="12">
        <f t="shared" si="16"/>
        <v>685724.99391087587</v>
      </c>
      <c r="V290">
        <f t="shared" si="15"/>
        <v>43699.426089124172</v>
      </c>
    </row>
    <row r="291" spans="1:22" ht="14.25">
      <c r="A291" s="2" t="s">
        <v>94</v>
      </c>
      <c r="B291" s="3">
        <v>45689</v>
      </c>
      <c r="C291" s="2" t="s">
        <v>15</v>
      </c>
      <c r="D291" s="2" t="s">
        <v>16</v>
      </c>
      <c r="E291" s="2">
        <v>68909.259999999995</v>
      </c>
      <c r="F291" s="2">
        <v>7794</v>
      </c>
      <c r="G291" s="2">
        <v>0.28399999999999997</v>
      </c>
      <c r="H291" s="2">
        <v>22</v>
      </c>
      <c r="I291" s="2">
        <v>89</v>
      </c>
      <c r="J291" s="2">
        <v>0.33</v>
      </c>
      <c r="K291" s="2">
        <v>0</v>
      </c>
      <c r="L291" s="2">
        <v>4</v>
      </c>
      <c r="M291" s="5">
        <f t="shared" si="0"/>
        <v>0</v>
      </c>
      <c r="N291" s="5">
        <f t="shared" si="1"/>
        <v>0</v>
      </c>
      <c r="O291" s="5">
        <f t="shared" si="2"/>
        <v>1</v>
      </c>
      <c r="P291" s="5">
        <f t="shared" si="3"/>
        <v>0</v>
      </c>
      <c r="Q291" s="5">
        <f t="shared" si="4"/>
        <v>0</v>
      </c>
      <c r="R291" s="5">
        <f t="shared" si="5"/>
        <v>0</v>
      </c>
      <c r="S291" s="2">
        <v>72455.350000000006</v>
      </c>
      <c r="T291" s="2">
        <v>696261.49</v>
      </c>
      <c r="U291" s="12">
        <f t="shared" si="16"/>
        <v>724969.34187569609</v>
      </c>
      <c r="V291">
        <f t="shared" si="15"/>
        <v>-28707.851875696098</v>
      </c>
    </row>
    <row r="292" spans="1:22" ht="14.25">
      <c r="A292" s="2" t="s">
        <v>94</v>
      </c>
      <c r="B292" s="3">
        <v>45717</v>
      </c>
      <c r="C292" s="2" t="s">
        <v>15</v>
      </c>
      <c r="D292" s="2" t="s">
        <v>16</v>
      </c>
      <c r="E292" s="2">
        <v>56737.3</v>
      </c>
      <c r="F292" s="2">
        <v>8300</v>
      </c>
      <c r="G292" s="2">
        <v>3.2000000000000001E-2</v>
      </c>
      <c r="H292" s="2">
        <v>21</v>
      </c>
      <c r="I292" s="2">
        <v>83.2</v>
      </c>
      <c r="J292" s="2">
        <v>3.44</v>
      </c>
      <c r="K292" s="2">
        <v>1</v>
      </c>
      <c r="L292" s="2">
        <v>4.3</v>
      </c>
      <c r="M292" s="5">
        <f t="shared" si="0"/>
        <v>0</v>
      </c>
      <c r="N292" s="5">
        <f t="shared" si="1"/>
        <v>0</v>
      </c>
      <c r="O292" s="5">
        <f t="shared" si="2"/>
        <v>1</v>
      </c>
      <c r="P292" s="5">
        <f t="shared" si="3"/>
        <v>0</v>
      </c>
      <c r="Q292" s="5">
        <f t="shared" si="4"/>
        <v>0</v>
      </c>
      <c r="R292" s="5">
        <f t="shared" si="5"/>
        <v>0</v>
      </c>
      <c r="S292" s="2">
        <v>110077.42</v>
      </c>
      <c r="T292" s="2">
        <v>813316.71</v>
      </c>
      <c r="U292" s="12">
        <f t="shared" si="16"/>
        <v>721415.92000339169</v>
      </c>
      <c r="V292">
        <f t="shared" si="15"/>
        <v>91900.789996608277</v>
      </c>
    </row>
    <row r="293" spans="1:22" ht="14.25">
      <c r="A293" s="2" t="s">
        <v>94</v>
      </c>
      <c r="B293" s="3">
        <v>45748</v>
      </c>
      <c r="C293" s="2" t="s">
        <v>15</v>
      </c>
      <c r="D293" s="2" t="s">
        <v>16</v>
      </c>
      <c r="E293" s="2">
        <v>54080.91</v>
      </c>
      <c r="F293" s="2">
        <v>7083</v>
      </c>
      <c r="G293" s="2">
        <v>0</v>
      </c>
      <c r="H293" s="2">
        <v>15</v>
      </c>
      <c r="I293" s="2">
        <v>97</v>
      </c>
      <c r="J293" s="2">
        <v>5.33</v>
      </c>
      <c r="K293" s="2">
        <v>0</v>
      </c>
      <c r="L293" s="2">
        <v>4.0999999999999996</v>
      </c>
      <c r="M293" s="5">
        <f t="shared" si="0"/>
        <v>0</v>
      </c>
      <c r="N293" s="5">
        <f t="shared" si="1"/>
        <v>0</v>
      </c>
      <c r="O293" s="5">
        <f t="shared" si="2"/>
        <v>1</v>
      </c>
      <c r="P293" s="5">
        <f t="shared" si="3"/>
        <v>0</v>
      </c>
      <c r="Q293" s="5">
        <f t="shared" si="4"/>
        <v>0</v>
      </c>
      <c r="R293" s="5">
        <f t="shared" si="5"/>
        <v>0</v>
      </c>
      <c r="S293" s="2">
        <v>111266.63</v>
      </c>
      <c r="T293" s="2">
        <v>702068.92</v>
      </c>
      <c r="U293" s="12">
        <f t="shared" si="16"/>
        <v>683304.41320004768</v>
      </c>
      <c r="V293">
        <f t="shared" si="15"/>
        <v>18764.50679995236</v>
      </c>
    </row>
    <row r="294" spans="1:22" ht="14.25">
      <c r="A294" s="2" t="s">
        <v>95</v>
      </c>
      <c r="B294" s="3">
        <v>45658</v>
      </c>
      <c r="C294" s="2" t="s">
        <v>27</v>
      </c>
      <c r="D294" s="2" t="s">
        <v>18</v>
      </c>
      <c r="E294" s="2">
        <v>51996.32</v>
      </c>
      <c r="F294" s="2">
        <v>3834</v>
      </c>
      <c r="G294" s="2">
        <v>9.6000000000000002E-2</v>
      </c>
      <c r="H294" s="2">
        <v>8</v>
      </c>
      <c r="I294" s="2">
        <v>86.7</v>
      </c>
      <c r="J294" s="2">
        <v>6.04</v>
      </c>
      <c r="K294" s="2">
        <v>0</v>
      </c>
      <c r="L294" s="2">
        <v>4.5</v>
      </c>
      <c r="M294" s="5">
        <f t="shared" si="0"/>
        <v>0</v>
      </c>
      <c r="N294" s="5">
        <f t="shared" si="1"/>
        <v>0</v>
      </c>
      <c r="O294" s="5">
        <f t="shared" si="2"/>
        <v>0</v>
      </c>
      <c r="P294" s="5">
        <f t="shared" si="3"/>
        <v>0</v>
      </c>
      <c r="Q294" s="5">
        <f t="shared" si="4"/>
        <v>1</v>
      </c>
      <c r="R294" s="5">
        <f t="shared" si="5"/>
        <v>0</v>
      </c>
      <c r="S294" s="2">
        <v>100769.17</v>
      </c>
      <c r="T294" s="2">
        <v>546223.69999999995</v>
      </c>
      <c r="U294" s="12">
        <f t="shared" si="16"/>
        <v>579981.41490814951</v>
      </c>
      <c r="V294">
        <f t="shared" si="15"/>
        <v>-33757.714908149559</v>
      </c>
    </row>
    <row r="295" spans="1:22" ht="14.25">
      <c r="A295" s="2" t="s">
        <v>95</v>
      </c>
      <c r="B295" s="3">
        <v>45689</v>
      </c>
      <c r="C295" s="2" t="s">
        <v>27</v>
      </c>
      <c r="D295" s="2" t="s">
        <v>18</v>
      </c>
      <c r="E295" s="2">
        <v>40102.879999999997</v>
      </c>
      <c r="F295" s="2">
        <v>2358</v>
      </c>
      <c r="G295" s="2">
        <v>0.11899999999999999</v>
      </c>
      <c r="H295" s="2">
        <v>9</v>
      </c>
      <c r="I295" s="2">
        <v>88.7</v>
      </c>
      <c r="J295" s="2">
        <v>1.6</v>
      </c>
      <c r="K295" s="2">
        <v>0</v>
      </c>
      <c r="L295" s="2">
        <v>4.2</v>
      </c>
      <c r="M295" s="5">
        <f t="shared" si="0"/>
        <v>0</v>
      </c>
      <c r="N295" s="5">
        <f t="shared" si="1"/>
        <v>0</v>
      </c>
      <c r="O295" s="5">
        <f t="shared" si="2"/>
        <v>0</v>
      </c>
      <c r="P295" s="5">
        <f t="shared" si="3"/>
        <v>0</v>
      </c>
      <c r="Q295" s="5">
        <f t="shared" si="4"/>
        <v>1</v>
      </c>
      <c r="R295" s="5">
        <f t="shared" si="5"/>
        <v>0</v>
      </c>
      <c r="S295" s="2">
        <v>55063.39</v>
      </c>
      <c r="T295" s="2">
        <v>533121.26</v>
      </c>
      <c r="U295" s="12">
        <f t="shared" si="16"/>
        <v>545439.56746924703</v>
      </c>
      <c r="V295">
        <f t="shared" si="15"/>
        <v>-12318.307469247025</v>
      </c>
    </row>
    <row r="296" spans="1:22" ht="14.25">
      <c r="A296" s="2" t="s">
        <v>95</v>
      </c>
      <c r="B296" s="3">
        <v>45717</v>
      </c>
      <c r="C296" s="2" t="s">
        <v>27</v>
      </c>
      <c r="D296" s="2" t="s">
        <v>18</v>
      </c>
      <c r="E296" s="2">
        <v>59825.51</v>
      </c>
      <c r="F296" s="2">
        <v>1231</v>
      </c>
      <c r="G296" s="2">
        <v>0.214</v>
      </c>
      <c r="H296" s="2">
        <v>10</v>
      </c>
      <c r="I296" s="2">
        <v>84.8</v>
      </c>
      <c r="J296" s="2">
        <v>8.9600000000000009</v>
      </c>
      <c r="K296" s="2">
        <v>0</v>
      </c>
      <c r="L296" s="2">
        <v>4.7</v>
      </c>
      <c r="M296" s="5">
        <f t="shared" si="0"/>
        <v>0</v>
      </c>
      <c r="N296" s="5">
        <f t="shared" si="1"/>
        <v>0</v>
      </c>
      <c r="O296" s="5">
        <f t="shared" si="2"/>
        <v>0</v>
      </c>
      <c r="P296" s="5">
        <f t="shared" si="3"/>
        <v>0</v>
      </c>
      <c r="Q296" s="5">
        <f t="shared" si="4"/>
        <v>1</v>
      </c>
      <c r="R296" s="5">
        <f t="shared" si="5"/>
        <v>0</v>
      </c>
      <c r="S296" s="2">
        <v>69656.7</v>
      </c>
      <c r="T296" s="2">
        <v>498970.32</v>
      </c>
      <c r="U296" s="12">
        <f t="shared" si="16"/>
        <v>507092.58422743098</v>
      </c>
      <c r="V296">
        <f t="shared" si="15"/>
        <v>-8122.2642274309765</v>
      </c>
    </row>
    <row r="297" spans="1:22" ht="14.25">
      <c r="A297" s="2" t="s">
        <v>95</v>
      </c>
      <c r="B297" s="3">
        <v>45748</v>
      </c>
      <c r="C297" s="2" t="s">
        <v>27</v>
      </c>
      <c r="D297" s="2" t="s">
        <v>18</v>
      </c>
      <c r="E297" s="2">
        <v>27398.28</v>
      </c>
      <c r="F297" s="2">
        <v>1723</v>
      </c>
      <c r="G297" s="2">
        <v>0.17100000000000001</v>
      </c>
      <c r="H297" s="2">
        <v>9</v>
      </c>
      <c r="I297" s="2">
        <v>81</v>
      </c>
      <c r="J297" s="2">
        <v>0.74</v>
      </c>
      <c r="K297" s="2">
        <v>0</v>
      </c>
      <c r="L297" s="2">
        <v>4.5999999999999996</v>
      </c>
      <c r="M297" s="5">
        <f t="shared" si="0"/>
        <v>0</v>
      </c>
      <c r="N297" s="5">
        <f t="shared" si="1"/>
        <v>0</v>
      </c>
      <c r="O297" s="5">
        <f t="shared" si="2"/>
        <v>0</v>
      </c>
      <c r="P297" s="5">
        <f t="shared" si="3"/>
        <v>0</v>
      </c>
      <c r="Q297" s="5">
        <f t="shared" si="4"/>
        <v>1</v>
      </c>
      <c r="R297" s="5">
        <f t="shared" si="5"/>
        <v>0</v>
      </c>
      <c r="S297" s="2">
        <v>96435.6</v>
      </c>
      <c r="T297" s="2">
        <v>487738.26</v>
      </c>
      <c r="U297" s="12">
        <f t="shared" si="16"/>
        <v>494946.32062432379</v>
      </c>
      <c r="V297">
        <f t="shared" si="15"/>
        <v>-7208.0606243237853</v>
      </c>
    </row>
    <row r="298" spans="1:22" ht="14.25">
      <c r="A298" s="2" t="s">
        <v>96</v>
      </c>
      <c r="B298" s="3">
        <v>45658</v>
      </c>
      <c r="C298" s="2" t="s">
        <v>27</v>
      </c>
      <c r="D298" s="2" t="s">
        <v>18</v>
      </c>
      <c r="E298" s="2">
        <v>55599.56</v>
      </c>
      <c r="F298" s="2">
        <v>5896</v>
      </c>
      <c r="G298" s="2">
        <v>3.5999999999999997E-2</v>
      </c>
      <c r="H298" s="2">
        <v>12</v>
      </c>
      <c r="I298" s="2">
        <v>93.1</v>
      </c>
      <c r="J298" s="2">
        <v>6.13</v>
      </c>
      <c r="K298" s="2">
        <v>0</v>
      </c>
      <c r="L298" s="2">
        <v>3.3</v>
      </c>
      <c r="M298" s="5">
        <f t="shared" si="0"/>
        <v>0</v>
      </c>
      <c r="N298" s="5">
        <f t="shared" si="1"/>
        <v>0</v>
      </c>
      <c r="O298" s="5">
        <f t="shared" si="2"/>
        <v>0</v>
      </c>
      <c r="P298" s="5">
        <f t="shared" si="3"/>
        <v>0</v>
      </c>
      <c r="Q298" s="5">
        <f t="shared" si="4"/>
        <v>1</v>
      </c>
      <c r="R298" s="5">
        <f t="shared" si="5"/>
        <v>0</v>
      </c>
      <c r="S298" s="2">
        <v>126435.42</v>
      </c>
      <c r="T298" s="2">
        <v>668459.37</v>
      </c>
      <c r="U298" s="12">
        <f t="shared" si="16"/>
        <v>661493.85949480347</v>
      </c>
      <c r="V298">
        <f t="shared" si="15"/>
        <v>6965.510505196522</v>
      </c>
    </row>
    <row r="299" spans="1:22" ht="14.25">
      <c r="A299" s="2" t="s">
        <v>96</v>
      </c>
      <c r="B299" s="3">
        <v>45689</v>
      </c>
      <c r="C299" s="2" t="s">
        <v>27</v>
      </c>
      <c r="D299" s="2" t="s">
        <v>18</v>
      </c>
      <c r="E299" s="2">
        <v>55477.61</v>
      </c>
      <c r="F299" s="2">
        <v>5903</v>
      </c>
      <c r="G299" s="2">
        <v>0.10199999999999999</v>
      </c>
      <c r="H299" s="2">
        <v>14</v>
      </c>
      <c r="I299" s="2">
        <v>96.2</v>
      </c>
      <c r="J299" s="2">
        <v>1.41</v>
      </c>
      <c r="K299" s="2">
        <v>0</v>
      </c>
      <c r="L299" s="2">
        <v>3.3</v>
      </c>
      <c r="M299" s="5">
        <f t="shared" si="0"/>
        <v>0</v>
      </c>
      <c r="N299" s="5">
        <f t="shared" si="1"/>
        <v>0</v>
      </c>
      <c r="O299" s="5">
        <f t="shared" si="2"/>
        <v>0</v>
      </c>
      <c r="P299" s="5">
        <f t="shared" si="3"/>
        <v>0</v>
      </c>
      <c r="Q299" s="5">
        <f t="shared" si="4"/>
        <v>1</v>
      </c>
      <c r="R299" s="5">
        <f t="shared" si="5"/>
        <v>0</v>
      </c>
      <c r="S299" s="2">
        <v>162524.04999999999</v>
      </c>
      <c r="T299" s="2">
        <v>763162.45</v>
      </c>
      <c r="U299" s="12">
        <f t="shared" si="16"/>
        <v>691553.13380396413</v>
      </c>
      <c r="V299">
        <f t="shared" si="15"/>
        <v>71609.316196035827</v>
      </c>
    </row>
    <row r="300" spans="1:22" ht="14.25">
      <c r="A300" s="2" t="s">
        <v>96</v>
      </c>
      <c r="B300" s="3">
        <v>45717</v>
      </c>
      <c r="C300" s="2" t="s">
        <v>27</v>
      </c>
      <c r="D300" s="2" t="s">
        <v>18</v>
      </c>
      <c r="E300" s="2">
        <v>46174.7</v>
      </c>
      <c r="F300" s="2">
        <v>4898</v>
      </c>
      <c r="G300" s="2">
        <v>0.114</v>
      </c>
      <c r="H300" s="2">
        <v>11</v>
      </c>
      <c r="I300" s="2">
        <v>91.7</v>
      </c>
      <c r="J300" s="2">
        <v>3.75</v>
      </c>
      <c r="K300" s="2">
        <v>0</v>
      </c>
      <c r="L300" s="2">
        <v>3.1</v>
      </c>
      <c r="M300" s="5">
        <f t="shared" si="0"/>
        <v>0</v>
      </c>
      <c r="N300" s="5">
        <f t="shared" si="1"/>
        <v>0</v>
      </c>
      <c r="O300" s="5">
        <f t="shared" si="2"/>
        <v>0</v>
      </c>
      <c r="P300" s="5">
        <f t="shared" si="3"/>
        <v>0</v>
      </c>
      <c r="Q300" s="5">
        <f t="shared" si="4"/>
        <v>1</v>
      </c>
      <c r="R300" s="5">
        <f t="shared" si="5"/>
        <v>0</v>
      </c>
      <c r="S300" s="2">
        <v>134009.92000000001</v>
      </c>
      <c r="T300" s="2">
        <v>599017.32999999996</v>
      </c>
      <c r="U300" s="12">
        <f t="shared" si="16"/>
        <v>617477.27580899245</v>
      </c>
      <c r="V300">
        <f t="shared" si="15"/>
        <v>-18459.945808992488</v>
      </c>
    </row>
    <row r="301" spans="1:22" ht="14.25">
      <c r="A301" s="2" t="s">
        <v>96</v>
      </c>
      <c r="B301" s="3">
        <v>45748</v>
      </c>
      <c r="C301" s="2" t="s">
        <v>27</v>
      </c>
      <c r="D301" s="2" t="s">
        <v>18</v>
      </c>
      <c r="E301" s="2">
        <v>24362.98</v>
      </c>
      <c r="F301" s="2">
        <v>1462</v>
      </c>
      <c r="G301" s="2">
        <v>0.11700000000000001</v>
      </c>
      <c r="H301" s="2">
        <v>6</v>
      </c>
      <c r="I301" s="2">
        <v>89.3</v>
      </c>
      <c r="J301" s="2">
        <v>15.06</v>
      </c>
      <c r="K301" s="2">
        <v>0</v>
      </c>
      <c r="L301" s="2">
        <v>3.2</v>
      </c>
      <c r="M301" s="5">
        <f t="shared" si="0"/>
        <v>0</v>
      </c>
      <c r="N301" s="5">
        <f t="shared" si="1"/>
        <v>0</v>
      </c>
      <c r="O301" s="5">
        <f t="shared" si="2"/>
        <v>0</v>
      </c>
      <c r="P301" s="5">
        <f t="shared" si="3"/>
        <v>0</v>
      </c>
      <c r="Q301" s="5">
        <f t="shared" si="4"/>
        <v>1</v>
      </c>
      <c r="R301" s="5">
        <f t="shared" si="5"/>
        <v>0</v>
      </c>
      <c r="S301" s="2">
        <v>68454.929999999993</v>
      </c>
      <c r="T301" s="2">
        <v>401582.58</v>
      </c>
      <c r="U301" s="12">
        <f t="shared" si="16"/>
        <v>434510.4046409562</v>
      </c>
      <c r="V301">
        <f t="shared" si="15"/>
        <v>-32927.824640956183</v>
      </c>
    </row>
    <row r="302" spans="1:22" ht="14.25">
      <c r="A302" s="2" t="s">
        <v>97</v>
      </c>
      <c r="B302" s="3">
        <v>45658</v>
      </c>
      <c r="C302" s="2" t="s">
        <v>20</v>
      </c>
      <c r="D302" s="2" t="s">
        <v>28</v>
      </c>
      <c r="E302" s="2">
        <v>40647.67</v>
      </c>
      <c r="F302" s="2">
        <v>8252</v>
      </c>
      <c r="G302" s="2">
        <v>0.14099999999999999</v>
      </c>
      <c r="H302" s="2">
        <v>22</v>
      </c>
      <c r="I302" s="2">
        <v>88.2</v>
      </c>
      <c r="J302" s="2">
        <v>5.07</v>
      </c>
      <c r="K302" s="2">
        <v>1</v>
      </c>
      <c r="L302" s="2">
        <v>4.0999999999999996</v>
      </c>
      <c r="M302" s="5">
        <f t="shared" si="0"/>
        <v>1</v>
      </c>
      <c r="N302" s="5">
        <f t="shared" si="1"/>
        <v>0</v>
      </c>
      <c r="O302" s="5">
        <f t="shared" si="2"/>
        <v>0</v>
      </c>
      <c r="P302" s="5">
        <f t="shared" si="3"/>
        <v>1</v>
      </c>
      <c r="Q302" s="5">
        <f t="shared" si="4"/>
        <v>0</v>
      </c>
      <c r="R302" s="5">
        <f t="shared" si="5"/>
        <v>0</v>
      </c>
      <c r="S302" s="2">
        <v>133577.98000000001</v>
      </c>
      <c r="T302" s="2">
        <v>703812.99</v>
      </c>
      <c r="U302" s="12">
        <f t="shared" si="16"/>
        <v>749635.98721452372</v>
      </c>
      <c r="V302">
        <f t="shared" si="15"/>
        <v>-45822.997214523726</v>
      </c>
    </row>
    <row r="303" spans="1:22" ht="14.25">
      <c r="A303" s="2" t="s">
        <v>97</v>
      </c>
      <c r="B303" s="3">
        <v>45689</v>
      </c>
      <c r="C303" s="2" t="s">
        <v>20</v>
      </c>
      <c r="D303" s="2" t="s">
        <v>28</v>
      </c>
      <c r="E303" s="2">
        <v>63986.98</v>
      </c>
      <c r="F303" s="2">
        <v>7989</v>
      </c>
      <c r="G303" s="2">
        <v>7.3999999999999996E-2</v>
      </c>
      <c r="H303" s="2">
        <v>20</v>
      </c>
      <c r="I303" s="2">
        <v>83.3</v>
      </c>
      <c r="J303" s="2">
        <v>3.6</v>
      </c>
      <c r="K303" s="2">
        <v>0</v>
      </c>
      <c r="L303" s="2">
        <v>3.7</v>
      </c>
      <c r="M303" s="5">
        <f t="shared" si="0"/>
        <v>1</v>
      </c>
      <c r="N303" s="5">
        <f t="shared" si="1"/>
        <v>0</v>
      </c>
      <c r="O303" s="5">
        <f t="shared" si="2"/>
        <v>0</v>
      </c>
      <c r="P303" s="5">
        <f t="shared" si="3"/>
        <v>1</v>
      </c>
      <c r="Q303" s="5">
        <f t="shared" si="4"/>
        <v>0</v>
      </c>
      <c r="R303" s="5">
        <f t="shared" si="5"/>
        <v>0</v>
      </c>
      <c r="S303" s="2">
        <v>155013.91</v>
      </c>
      <c r="T303" s="2">
        <v>724346.73</v>
      </c>
      <c r="U303" s="12">
        <f t="shared" si="16"/>
        <v>736320.07319739414</v>
      </c>
      <c r="V303">
        <f t="shared" si="15"/>
        <v>-11973.343197394162</v>
      </c>
    </row>
    <row r="304" spans="1:22" ht="14.25">
      <c r="A304" s="2" t="s">
        <v>97</v>
      </c>
      <c r="B304" s="3">
        <v>45717</v>
      </c>
      <c r="C304" s="2" t="s">
        <v>20</v>
      </c>
      <c r="D304" s="2" t="s">
        <v>28</v>
      </c>
      <c r="E304" s="2">
        <v>52843.75</v>
      </c>
      <c r="F304" s="2">
        <v>8268</v>
      </c>
      <c r="G304" s="2">
        <v>0.13800000000000001</v>
      </c>
      <c r="H304" s="2">
        <v>19</v>
      </c>
      <c r="I304" s="2">
        <v>87.3</v>
      </c>
      <c r="J304" s="2">
        <v>4.3899999999999997</v>
      </c>
      <c r="K304" s="2">
        <v>1</v>
      </c>
      <c r="L304" s="2">
        <v>4.7</v>
      </c>
      <c r="M304" s="5">
        <f t="shared" si="0"/>
        <v>1</v>
      </c>
      <c r="N304" s="5">
        <f t="shared" si="1"/>
        <v>0</v>
      </c>
      <c r="O304" s="5">
        <f t="shared" si="2"/>
        <v>0</v>
      </c>
      <c r="P304" s="5">
        <f t="shared" si="3"/>
        <v>1</v>
      </c>
      <c r="Q304" s="5">
        <f t="shared" si="4"/>
        <v>0</v>
      </c>
      <c r="R304" s="5">
        <f t="shared" si="5"/>
        <v>0</v>
      </c>
      <c r="S304" s="2">
        <v>105502.56</v>
      </c>
      <c r="T304" s="2">
        <v>730890.01</v>
      </c>
      <c r="U304" s="12">
        <f t="shared" si="16"/>
        <v>761515.88387924514</v>
      </c>
      <c r="V304">
        <f t="shared" si="15"/>
        <v>-30625.873879245133</v>
      </c>
    </row>
    <row r="305" spans="1:22" ht="14.25">
      <c r="A305" s="2" t="s">
        <v>97</v>
      </c>
      <c r="B305" s="3">
        <v>45748</v>
      </c>
      <c r="C305" s="2" t="s">
        <v>20</v>
      </c>
      <c r="D305" s="2" t="s">
        <v>28</v>
      </c>
      <c r="E305" s="2">
        <v>31997.25</v>
      </c>
      <c r="F305" s="2">
        <v>8183</v>
      </c>
      <c r="G305" s="2">
        <v>0.19800000000000001</v>
      </c>
      <c r="H305" s="2">
        <v>18</v>
      </c>
      <c r="I305" s="2">
        <v>93</v>
      </c>
      <c r="J305" s="2">
        <v>2.79</v>
      </c>
      <c r="K305" s="2">
        <v>0</v>
      </c>
      <c r="L305" s="2">
        <v>4.2</v>
      </c>
      <c r="M305" s="5">
        <f t="shared" si="0"/>
        <v>1</v>
      </c>
      <c r="N305" s="5">
        <f t="shared" si="1"/>
        <v>0</v>
      </c>
      <c r="O305" s="5">
        <f t="shared" si="2"/>
        <v>0</v>
      </c>
      <c r="P305" s="5">
        <f t="shared" si="3"/>
        <v>1</v>
      </c>
      <c r="Q305" s="5">
        <f t="shared" si="4"/>
        <v>0</v>
      </c>
      <c r="R305" s="5">
        <f t="shared" si="5"/>
        <v>0</v>
      </c>
      <c r="S305" s="2">
        <v>138144.46</v>
      </c>
      <c r="T305" s="2">
        <v>780580.95</v>
      </c>
      <c r="U305" s="12">
        <f t="shared" si="16"/>
        <v>729530.09826946689</v>
      </c>
      <c r="V305">
        <f t="shared" si="15"/>
        <v>51050.851730533061</v>
      </c>
    </row>
    <row r="306" spans="1:22" ht="14.25">
      <c r="A306" s="2" t="s">
        <v>98</v>
      </c>
      <c r="B306" s="3">
        <v>45658</v>
      </c>
      <c r="C306" s="2" t="s">
        <v>24</v>
      </c>
      <c r="D306" s="2" t="s">
        <v>16</v>
      </c>
      <c r="E306" s="2">
        <v>54948.02</v>
      </c>
      <c r="F306" s="2">
        <v>6534</v>
      </c>
      <c r="G306" s="2">
        <v>0.183</v>
      </c>
      <c r="H306" s="2">
        <v>14</v>
      </c>
      <c r="I306" s="2">
        <v>94.5</v>
      </c>
      <c r="J306" s="2">
        <v>1.56</v>
      </c>
      <c r="K306" s="2">
        <v>0</v>
      </c>
      <c r="L306" s="2">
        <v>4</v>
      </c>
      <c r="M306" s="5">
        <f t="shared" si="0"/>
        <v>0</v>
      </c>
      <c r="N306" s="5">
        <f t="shared" si="1"/>
        <v>1</v>
      </c>
      <c r="O306" s="5">
        <f t="shared" si="2"/>
        <v>0</v>
      </c>
      <c r="P306" s="5">
        <f t="shared" si="3"/>
        <v>0</v>
      </c>
      <c r="Q306" s="5">
        <f t="shared" si="4"/>
        <v>0</v>
      </c>
      <c r="R306" s="5">
        <f t="shared" si="5"/>
        <v>0</v>
      </c>
      <c r="S306" s="2">
        <v>74805.23</v>
      </c>
      <c r="T306" s="2">
        <v>727957.48</v>
      </c>
      <c r="U306" s="12">
        <f t="shared" si="16"/>
        <v>683434.84860737587</v>
      </c>
      <c r="V306">
        <f t="shared" si="15"/>
        <v>44522.631392624113</v>
      </c>
    </row>
    <row r="307" spans="1:22" ht="14.25">
      <c r="A307" s="2" t="s">
        <v>98</v>
      </c>
      <c r="B307" s="3">
        <v>45689</v>
      </c>
      <c r="C307" s="2" t="s">
        <v>24</v>
      </c>
      <c r="D307" s="2" t="s">
        <v>16</v>
      </c>
      <c r="E307" s="2">
        <v>46146.239999999998</v>
      </c>
      <c r="F307" s="2">
        <v>5804</v>
      </c>
      <c r="G307" s="2">
        <v>4.7E-2</v>
      </c>
      <c r="H307" s="2">
        <v>16</v>
      </c>
      <c r="I307" s="2">
        <v>86.9</v>
      </c>
      <c r="J307" s="2">
        <v>15.82</v>
      </c>
      <c r="K307" s="2">
        <v>0</v>
      </c>
      <c r="L307" s="2">
        <v>3.8</v>
      </c>
      <c r="M307" s="5">
        <f t="shared" si="0"/>
        <v>0</v>
      </c>
      <c r="N307" s="5">
        <f t="shared" si="1"/>
        <v>1</v>
      </c>
      <c r="O307" s="5">
        <f t="shared" si="2"/>
        <v>0</v>
      </c>
      <c r="P307" s="5">
        <f t="shared" si="3"/>
        <v>0</v>
      </c>
      <c r="Q307" s="5">
        <f t="shared" si="4"/>
        <v>0</v>
      </c>
      <c r="R307" s="5">
        <f t="shared" si="5"/>
        <v>0</v>
      </c>
      <c r="S307" s="2">
        <v>87605.62</v>
      </c>
      <c r="T307" s="2">
        <v>538376</v>
      </c>
      <c r="U307" s="12">
        <f t="shared" si="16"/>
        <v>590653.65932114015</v>
      </c>
      <c r="V307">
        <f t="shared" si="15"/>
        <v>-52277.659321140149</v>
      </c>
    </row>
    <row r="308" spans="1:22" ht="14.25">
      <c r="A308" s="2" t="s">
        <v>98</v>
      </c>
      <c r="B308" s="3">
        <v>45717</v>
      </c>
      <c r="C308" s="2" t="s">
        <v>24</v>
      </c>
      <c r="D308" s="2" t="s">
        <v>16</v>
      </c>
      <c r="E308" s="2">
        <v>22387.26</v>
      </c>
      <c r="F308" s="2">
        <v>6301</v>
      </c>
      <c r="G308" s="2">
        <v>0.14599999999999999</v>
      </c>
      <c r="H308" s="2">
        <v>14</v>
      </c>
      <c r="I308" s="2">
        <v>85.9</v>
      </c>
      <c r="J308" s="2">
        <v>1.17</v>
      </c>
      <c r="K308" s="2">
        <v>1</v>
      </c>
      <c r="L308" s="2">
        <v>3.7</v>
      </c>
      <c r="M308" s="5">
        <f t="shared" si="0"/>
        <v>0</v>
      </c>
      <c r="N308" s="5">
        <f t="shared" si="1"/>
        <v>1</v>
      </c>
      <c r="O308" s="5">
        <f t="shared" si="2"/>
        <v>0</v>
      </c>
      <c r="P308" s="5">
        <f t="shared" si="3"/>
        <v>0</v>
      </c>
      <c r="Q308" s="5">
        <f t="shared" si="4"/>
        <v>0</v>
      </c>
      <c r="R308" s="5">
        <f t="shared" si="5"/>
        <v>0</v>
      </c>
      <c r="S308" s="2">
        <v>93441.81</v>
      </c>
      <c r="T308" s="2">
        <v>665342.49</v>
      </c>
      <c r="U308" s="12">
        <f t="shared" si="16"/>
        <v>625605.62298815185</v>
      </c>
      <c r="V308">
        <f t="shared" si="15"/>
        <v>39736.867011848139</v>
      </c>
    </row>
    <row r="309" spans="1:22" ht="14.25">
      <c r="A309" s="2" t="s">
        <v>98</v>
      </c>
      <c r="B309" s="3">
        <v>45748</v>
      </c>
      <c r="C309" s="2" t="s">
        <v>24</v>
      </c>
      <c r="D309" s="2" t="s">
        <v>16</v>
      </c>
      <c r="E309" s="2">
        <v>60684.05</v>
      </c>
      <c r="F309" s="2">
        <v>6399</v>
      </c>
      <c r="G309" s="2">
        <v>7.4999999999999997E-2</v>
      </c>
      <c r="H309" s="2">
        <v>16</v>
      </c>
      <c r="I309" s="2">
        <v>99</v>
      </c>
      <c r="J309" s="2">
        <v>3.82</v>
      </c>
      <c r="K309" s="2">
        <v>0</v>
      </c>
      <c r="L309" s="2">
        <v>3.5</v>
      </c>
      <c r="M309" s="5">
        <f t="shared" si="0"/>
        <v>0</v>
      </c>
      <c r="N309" s="5">
        <f t="shared" si="1"/>
        <v>1</v>
      </c>
      <c r="O309" s="5">
        <f t="shared" si="2"/>
        <v>0</v>
      </c>
      <c r="P309" s="5">
        <f t="shared" si="3"/>
        <v>0</v>
      </c>
      <c r="Q309" s="5">
        <f t="shared" si="4"/>
        <v>0</v>
      </c>
      <c r="R309" s="5">
        <f t="shared" si="5"/>
        <v>0</v>
      </c>
      <c r="S309" s="2">
        <v>109466.5</v>
      </c>
      <c r="T309" s="2">
        <v>651164.18000000005</v>
      </c>
      <c r="U309" s="12">
        <f t="shared" si="16"/>
        <v>697910.79858968267</v>
      </c>
      <c r="V309">
        <f t="shared" si="15"/>
        <v>-46746.618589682621</v>
      </c>
    </row>
    <row r="310" spans="1:22" ht="14.25">
      <c r="A310" s="2" t="s">
        <v>99</v>
      </c>
      <c r="B310" s="3">
        <v>45658</v>
      </c>
      <c r="C310" s="2" t="s">
        <v>24</v>
      </c>
      <c r="D310" s="2" t="s">
        <v>18</v>
      </c>
      <c r="E310" s="2">
        <v>48465.599999999999</v>
      </c>
      <c r="F310" s="2">
        <v>5759</v>
      </c>
      <c r="G310" s="2">
        <v>0.154</v>
      </c>
      <c r="H310" s="2">
        <v>13</v>
      </c>
      <c r="I310" s="2">
        <v>87.5</v>
      </c>
      <c r="J310" s="2">
        <v>4.1399999999999997</v>
      </c>
      <c r="K310" s="2">
        <v>0</v>
      </c>
      <c r="L310" s="2">
        <v>4</v>
      </c>
      <c r="M310" s="5">
        <f t="shared" si="0"/>
        <v>0</v>
      </c>
      <c r="N310" s="5">
        <f t="shared" si="1"/>
        <v>1</v>
      </c>
      <c r="O310" s="5">
        <f t="shared" si="2"/>
        <v>0</v>
      </c>
      <c r="P310" s="5">
        <f t="shared" si="3"/>
        <v>0</v>
      </c>
      <c r="Q310" s="5">
        <f t="shared" si="4"/>
        <v>1</v>
      </c>
      <c r="R310" s="5">
        <f t="shared" si="5"/>
        <v>0</v>
      </c>
      <c r="S310" s="2">
        <v>112509.15</v>
      </c>
      <c r="T310" s="2">
        <v>628538.30000000005</v>
      </c>
      <c r="U310" s="12">
        <f t="shared" si="16"/>
        <v>642007.15378003521</v>
      </c>
      <c r="V310">
        <f t="shared" si="15"/>
        <v>-13468.853780035162</v>
      </c>
    </row>
    <row r="311" spans="1:22" ht="14.25">
      <c r="A311" s="2" t="s">
        <v>99</v>
      </c>
      <c r="B311" s="3">
        <v>45689</v>
      </c>
      <c r="C311" s="2" t="s">
        <v>24</v>
      </c>
      <c r="D311" s="2" t="s">
        <v>18</v>
      </c>
      <c r="E311" s="2">
        <v>23702.38</v>
      </c>
      <c r="F311" s="2">
        <v>5285</v>
      </c>
      <c r="G311" s="2">
        <v>0.16700000000000001</v>
      </c>
      <c r="H311" s="2">
        <v>14</v>
      </c>
      <c r="I311" s="2">
        <v>79.7</v>
      </c>
      <c r="J311" s="2">
        <v>1.1000000000000001</v>
      </c>
      <c r="K311" s="2">
        <v>0</v>
      </c>
      <c r="L311" s="2">
        <v>4.3</v>
      </c>
      <c r="M311" s="5">
        <f t="shared" si="0"/>
        <v>0</v>
      </c>
      <c r="N311" s="5">
        <f t="shared" si="1"/>
        <v>1</v>
      </c>
      <c r="O311" s="5">
        <f t="shared" si="2"/>
        <v>0</v>
      </c>
      <c r="P311" s="5">
        <f t="shared" si="3"/>
        <v>0</v>
      </c>
      <c r="Q311" s="5">
        <f t="shared" si="4"/>
        <v>1</v>
      </c>
      <c r="R311" s="5">
        <f t="shared" si="5"/>
        <v>0</v>
      </c>
      <c r="S311" s="2">
        <v>92752.94</v>
      </c>
      <c r="T311" s="2">
        <v>536524.84</v>
      </c>
      <c r="U311" s="12">
        <f t="shared" si="16"/>
        <v>592379.75644050096</v>
      </c>
      <c r="V311">
        <f t="shared" si="15"/>
        <v>-55854.916440500994</v>
      </c>
    </row>
    <row r="312" spans="1:22" ht="14.25">
      <c r="A312" s="2" t="s">
        <v>99</v>
      </c>
      <c r="B312" s="3">
        <v>45717</v>
      </c>
      <c r="C312" s="2" t="s">
        <v>24</v>
      </c>
      <c r="D312" s="2" t="s">
        <v>18</v>
      </c>
      <c r="E312" s="2">
        <v>54322.94</v>
      </c>
      <c r="F312" s="2">
        <v>5434</v>
      </c>
      <c r="G312" s="2">
        <v>0.2</v>
      </c>
      <c r="H312" s="2">
        <v>13</v>
      </c>
      <c r="I312" s="2">
        <v>85.7</v>
      </c>
      <c r="J312" s="2">
        <v>10.6</v>
      </c>
      <c r="K312" s="2">
        <v>0</v>
      </c>
      <c r="L312" s="2">
        <v>4.2</v>
      </c>
      <c r="M312" s="5">
        <f t="shared" si="0"/>
        <v>0</v>
      </c>
      <c r="N312" s="5">
        <f t="shared" si="1"/>
        <v>1</v>
      </c>
      <c r="O312" s="5">
        <f t="shared" si="2"/>
        <v>0</v>
      </c>
      <c r="P312" s="5">
        <f t="shared" si="3"/>
        <v>0</v>
      </c>
      <c r="Q312" s="5">
        <f t="shared" si="4"/>
        <v>1</v>
      </c>
      <c r="R312" s="5">
        <f t="shared" si="5"/>
        <v>0</v>
      </c>
      <c r="S312" s="2">
        <v>105192.52</v>
      </c>
      <c r="T312" s="2">
        <v>621677.30000000005</v>
      </c>
      <c r="U312" s="12">
        <f t="shared" si="16"/>
        <v>613092.40481928643</v>
      </c>
      <c r="V312">
        <f t="shared" si="15"/>
        <v>8584.8951807136182</v>
      </c>
    </row>
    <row r="313" spans="1:22" ht="14.25">
      <c r="A313" s="2" t="s">
        <v>99</v>
      </c>
      <c r="B313" s="3">
        <v>45748</v>
      </c>
      <c r="C313" s="2" t="s">
        <v>24</v>
      </c>
      <c r="D313" s="2" t="s">
        <v>18</v>
      </c>
      <c r="E313" s="2">
        <v>86026.58</v>
      </c>
      <c r="F313" s="2">
        <v>7479</v>
      </c>
      <c r="G313" s="2">
        <v>0.14199999999999999</v>
      </c>
      <c r="H313" s="2">
        <v>20</v>
      </c>
      <c r="I313" s="2">
        <v>89</v>
      </c>
      <c r="J313" s="2">
        <v>0.9</v>
      </c>
      <c r="K313" s="2">
        <v>0</v>
      </c>
      <c r="L313" s="4">
        <v>3.9</v>
      </c>
      <c r="M313" s="5">
        <f t="shared" si="0"/>
        <v>0</v>
      </c>
      <c r="N313" s="5">
        <f t="shared" si="1"/>
        <v>1</v>
      </c>
      <c r="O313" s="5">
        <f t="shared" si="2"/>
        <v>0</v>
      </c>
      <c r="P313" s="5">
        <f t="shared" si="3"/>
        <v>0</v>
      </c>
      <c r="Q313" s="5">
        <f t="shared" si="4"/>
        <v>1</v>
      </c>
      <c r="R313" s="5">
        <f t="shared" si="5"/>
        <v>0</v>
      </c>
      <c r="S313" s="2">
        <v>116851.13</v>
      </c>
      <c r="T313" s="2">
        <v>771129.07</v>
      </c>
      <c r="U313" s="12">
        <f t="shared" si="16"/>
        <v>774007.05961323739</v>
      </c>
      <c r="V313">
        <f t="shared" si="15"/>
        <v>-2877.9896132374415</v>
      </c>
    </row>
    <row r="314" spans="1:22" ht="14.25">
      <c r="A314" s="2" t="s">
        <v>100</v>
      </c>
      <c r="B314" s="3">
        <v>45658</v>
      </c>
      <c r="C314" s="2" t="s">
        <v>20</v>
      </c>
      <c r="D314" s="2" t="s">
        <v>16</v>
      </c>
      <c r="E314" s="2">
        <v>78967.520000000004</v>
      </c>
      <c r="F314" s="2">
        <v>6164</v>
      </c>
      <c r="G314" s="2">
        <v>2.1000000000000001E-2</v>
      </c>
      <c r="H314" s="2">
        <v>16</v>
      </c>
      <c r="I314" s="2">
        <v>85.5</v>
      </c>
      <c r="J314" s="2">
        <v>0.2</v>
      </c>
      <c r="K314" s="2">
        <v>0</v>
      </c>
      <c r="L314" s="2">
        <v>3.4</v>
      </c>
      <c r="M314" s="5">
        <f t="shared" si="0"/>
        <v>1</v>
      </c>
      <c r="N314" s="5">
        <f t="shared" si="1"/>
        <v>0</v>
      </c>
      <c r="O314" s="5">
        <f t="shared" si="2"/>
        <v>0</v>
      </c>
      <c r="P314" s="5">
        <f t="shared" si="3"/>
        <v>0</v>
      </c>
      <c r="Q314" s="5">
        <f t="shared" si="4"/>
        <v>0</v>
      </c>
      <c r="R314" s="5">
        <f t="shared" si="5"/>
        <v>0</v>
      </c>
      <c r="S314" s="2">
        <v>121732.51</v>
      </c>
      <c r="T314" s="2">
        <v>702052.47</v>
      </c>
      <c r="U314" s="12">
        <f t="shared" si="16"/>
        <v>674549.92767862987</v>
      </c>
      <c r="V314">
        <f t="shared" si="15"/>
        <v>27502.5423213701</v>
      </c>
    </row>
    <row r="315" spans="1:22" ht="14.25">
      <c r="A315" s="2" t="s">
        <v>100</v>
      </c>
      <c r="B315" s="3">
        <v>45689</v>
      </c>
      <c r="C315" s="2" t="s">
        <v>20</v>
      </c>
      <c r="D315" s="2" t="s">
        <v>16</v>
      </c>
      <c r="E315" s="2">
        <v>46767.99</v>
      </c>
      <c r="F315" s="2">
        <v>7973</v>
      </c>
      <c r="G315" s="2">
        <v>0.183</v>
      </c>
      <c r="H315" s="2">
        <v>18</v>
      </c>
      <c r="I315" s="2">
        <v>94.8</v>
      </c>
      <c r="J315" s="2">
        <v>4.67</v>
      </c>
      <c r="K315" s="2">
        <v>0</v>
      </c>
      <c r="L315" s="4">
        <v>3.9</v>
      </c>
      <c r="M315" s="5">
        <f t="shared" si="0"/>
        <v>1</v>
      </c>
      <c r="N315" s="5">
        <f t="shared" si="1"/>
        <v>0</v>
      </c>
      <c r="O315" s="5">
        <f t="shared" si="2"/>
        <v>0</v>
      </c>
      <c r="P315" s="5">
        <f t="shared" si="3"/>
        <v>0</v>
      </c>
      <c r="Q315" s="5">
        <f t="shared" si="4"/>
        <v>0</v>
      </c>
      <c r="R315" s="5">
        <f t="shared" si="5"/>
        <v>0</v>
      </c>
      <c r="S315" s="2">
        <v>93588.42</v>
      </c>
      <c r="T315" s="2">
        <v>688368.46</v>
      </c>
      <c r="U315" s="12">
        <f t="shared" si="16"/>
        <v>704742.32750464103</v>
      </c>
      <c r="V315">
        <f t="shared" si="15"/>
        <v>-16373.867504641064</v>
      </c>
    </row>
    <row r="316" spans="1:22" ht="14.25">
      <c r="A316" s="2" t="s">
        <v>100</v>
      </c>
      <c r="B316" s="3">
        <v>45717</v>
      </c>
      <c r="C316" s="2" t="s">
        <v>20</v>
      </c>
      <c r="D316" s="2" t="s">
        <v>16</v>
      </c>
      <c r="E316" s="2">
        <v>62507.16</v>
      </c>
      <c r="F316" s="2">
        <v>6000</v>
      </c>
      <c r="G316" s="2">
        <v>9.0999999999999998E-2</v>
      </c>
      <c r="H316" s="2">
        <v>14</v>
      </c>
      <c r="I316" s="2">
        <v>98.2</v>
      </c>
      <c r="J316" s="2">
        <v>4.38</v>
      </c>
      <c r="K316" s="2">
        <v>1</v>
      </c>
      <c r="L316" s="2">
        <v>3.9</v>
      </c>
      <c r="M316" s="5">
        <f t="shared" si="0"/>
        <v>1</v>
      </c>
      <c r="N316" s="5">
        <f t="shared" si="1"/>
        <v>0</v>
      </c>
      <c r="O316" s="5">
        <f t="shared" si="2"/>
        <v>0</v>
      </c>
      <c r="P316" s="5">
        <f t="shared" si="3"/>
        <v>0</v>
      </c>
      <c r="Q316" s="5">
        <f t="shared" si="4"/>
        <v>0</v>
      </c>
      <c r="R316" s="5">
        <f t="shared" si="5"/>
        <v>0</v>
      </c>
      <c r="S316" s="2">
        <v>104171.53</v>
      </c>
      <c r="T316" s="2">
        <v>712375.77</v>
      </c>
      <c r="U316" s="12">
        <f t="shared" si="16"/>
        <v>686177.91193487274</v>
      </c>
      <c r="V316">
        <f t="shared" si="15"/>
        <v>26197.858065127279</v>
      </c>
    </row>
    <row r="317" spans="1:22" ht="14.25">
      <c r="A317" s="2" t="s">
        <v>100</v>
      </c>
      <c r="B317" s="3">
        <v>45748</v>
      </c>
      <c r="C317" s="2" t="s">
        <v>20</v>
      </c>
      <c r="D317" s="2" t="s">
        <v>16</v>
      </c>
      <c r="E317" s="2">
        <v>66456.28</v>
      </c>
      <c r="F317" s="2">
        <v>9967</v>
      </c>
      <c r="G317" s="2">
        <v>0.108</v>
      </c>
      <c r="H317" s="2">
        <v>20</v>
      </c>
      <c r="I317" s="2">
        <v>94.7</v>
      </c>
      <c r="J317" s="2">
        <v>4.4800000000000004</v>
      </c>
      <c r="K317" s="2">
        <v>0</v>
      </c>
      <c r="L317" s="2">
        <v>4.2</v>
      </c>
      <c r="M317" s="5">
        <f t="shared" si="0"/>
        <v>1</v>
      </c>
      <c r="N317" s="5">
        <f t="shared" si="1"/>
        <v>0</v>
      </c>
      <c r="O317" s="5">
        <f t="shared" si="2"/>
        <v>0</v>
      </c>
      <c r="P317" s="5">
        <f t="shared" si="3"/>
        <v>0</v>
      </c>
      <c r="Q317" s="5">
        <f t="shared" si="4"/>
        <v>0</v>
      </c>
      <c r="R317" s="5">
        <f t="shared" si="5"/>
        <v>0</v>
      </c>
      <c r="S317" s="2">
        <v>137140.18</v>
      </c>
      <c r="T317" s="2">
        <v>844710.67</v>
      </c>
      <c r="U317" s="12">
        <f t="shared" si="16"/>
        <v>797282.01536102977</v>
      </c>
      <c r="V317">
        <f t="shared" si="15"/>
        <v>47428.654638970271</v>
      </c>
    </row>
    <row r="318" spans="1:22" ht="14.25">
      <c r="A318" s="2" t="s">
        <v>101</v>
      </c>
      <c r="B318" s="3">
        <v>45658</v>
      </c>
      <c r="C318" s="2" t="s">
        <v>15</v>
      </c>
      <c r="D318" s="2" t="s">
        <v>16</v>
      </c>
      <c r="E318" s="2">
        <v>76614.320000000007</v>
      </c>
      <c r="F318" s="2">
        <v>5639</v>
      </c>
      <c r="G318" s="2">
        <v>0.17399999999999999</v>
      </c>
      <c r="H318" s="2">
        <v>15</v>
      </c>
      <c r="I318" s="2">
        <v>92.9</v>
      </c>
      <c r="J318" s="2">
        <v>1.02</v>
      </c>
      <c r="K318" s="2">
        <v>1</v>
      </c>
      <c r="L318" s="2">
        <v>4</v>
      </c>
      <c r="M318" s="5">
        <f t="shared" si="0"/>
        <v>0</v>
      </c>
      <c r="N318" s="5">
        <f t="shared" si="1"/>
        <v>0</v>
      </c>
      <c r="O318" s="5">
        <f t="shared" si="2"/>
        <v>1</v>
      </c>
      <c r="P318" s="5">
        <f t="shared" si="3"/>
        <v>0</v>
      </c>
      <c r="Q318" s="5">
        <f t="shared" si="4"/>
        <v>0</v>
      </c>
      <c r="R318" s="5">
        <f t="shared" si="5"/>
        <v>0</v>
      </c>
      <c r="S318" s="2">
        <v>91365.64</v>
      </c>
      <c r="T318" s="2">
        <v>620264.19999999995</v>
      </c>
      <c r="U318" s="12">
        <f t="shared" si="16"/>
        <v>680087.97883296548</v>
      </c>
      <c r="V318">
        <f t="shared" si="15"/>
        <v>-59823.77883296553</v>
      </c>
    </row>
    <row r="319" spans="1:22" ht="14.25">
      <c r="A319" s="2" t="s">
        <v>101</v>
      </c>
      <c r="B319" s="3">
        <v>45689</v>
      </c>
      <c r="C319" s="2" t="s">
        <v>15</v>
      </c>
      <c r="D319" s="2" t="s">
        <v>16</v>
      </c>
      <c r="E319" s="2">
        <v>24088.06</v>
      </c>
      <c r="F319" s="2">
        <v>3466</v>
      </c>
      <c r="G319" s="2">
        <v>0</v>
      </c>
      <c r="H319" s="2">
        <v>11</v>
      </c>
      <c r="I319" s="2">
        <v>88</v>
      </c>
      <c r="J319" s="2">
        <v>0.2</v>
      </c>
      <c r="K319" s="2">
        <v>0</v>
      </c>
      <c r="L319" s="2">
        <v>3.8</v>
      </c>
      <c r="M319" s="5">
        <f t="shared" si="0"/>
        <v>0</v>
      </c>
      <c r="N319" s="5">
        <f t="shared" si="1"/>
        <v>0</v>
      </c>
      <c r="O319" s="5">
        <f t="shared" si="2"/>
        <v>1</v>
      </c>
      <c r="P319" s="5">
        <f t="shared" si="3"/>
        <v>0</v>
      </c>
      <c r="Q319" s="5">
        <f t="shared" si="4"/>
        <v>0</v>
      </c>
      <c r="R319" s="5">
        <f t="shared" si="5"/>
        <v>0</v>
      </c>
      <c r="S319" s="2">
        <v>107473.75</v>
      </c>
      <c r="T319" s="2">
        <v>536845.42000000004</v>
      </c>
      <c r="U319" s="12">
        <f t="shared" si="16"/>
        <v>520431.35872412554</v>
      </c>
      <c r="V319">
        <f t="shared" si="15"/>
        <v>16414.061275874497</v>
      </c>
    </row>
    <row r="320" spans="1:22" ht="14.25">
      <c r="A320" s="2" t="s">
        <v>101</v>
      </c>
      <c r="B320" s="3">
        <v>45717</v>
      </c>
      <c r="C320" s="2" t="s">
        <v>15</v>
      </c>
      <c r="D320" s="2" t="s">
        <v>16</v>
      </c>
      <c r="E320" s="2">
        <v>81902.58</v>
      </c>
      <c r="F320" s="2">
        <v>7775</v>
      </c>
      <c r="G320" s="2">
        <v>0.215</v>
      </c>
      <c r="H320" s="2">
        <v>20</v>
      </c>
      <c r="I320" s="2">
        <v>85.2</v>
      </c>
      <c r="J320" s="2">
        <v>4.8899999999999997</v>
      </c>
      <c r="K320" s="2">
        <v>1</v>
      </c>
      <c r="L320" s="2">
        <v>4.2</v>
      </c>
      <c r="M320" s="5">
        <f t="shared" si="0"/>
        <v>0</v>
      </c>
      <c r="N320" s="5">
        <f t="shared" si="1"/>
        <v>0</v>
      </c>
      <c r="O320" s="5">
        <f t="shared" si="2"/>
        <v>1</v>
      </c>
      <c r="P320" s="5">
        <f t="shared" si="3"/>
        <v>0</v>
      </c>
      <c r="Q320" s="5">
        <f t="shared" si="4"/>
        <v>0</v>
      </c>
      <c r="R320" s="5">
        <f t="shared" si="5"/>
        <v>0</v>
      </c>
      <c r="S320" s="2">
        <v>90804.49</v>
      </c>
      <c r="T320" s="2">
        <v>726776.22</v>
      </c>
      <c r="U320" s="12">
        <f t="shared" si="16"/>
        <v>726344.92957665934</v>
      </c>
      <c r="V320">
        <f t="shared" si="15"/>
        <v>431.29042334062979</v>
      </c>
    </row>
    <row r="321" spans="1:22" ht="14.25">
      <c r="A321" s="2" t="s">
        <v>101</v>
      </c>
      <c r="B321" s="3">
        <v>45748</v>
      </c>
      <c r="C321" s="2" t="s">
        <v>15</v>
      </c>
      <c r="D321" s="2" t="s">
        <v>16</v>
      </c>
      <c r="E321" s="2">
        <v>40553.11</v>
      </c>
      <c r="F321" s="2">
        <v>5317</v>
      </c>
      <c r="G321" s="2">
        <v>0.16500000000000001</v>
      </c>
      <c r="H321" s="2">
        <v>17</v>
      </c>
      <c r="I321" s="2">
        <v>84.3</v>
      </c>
      <c r="J321" s="2">
        <v>11.82</v>
      </c>
      <c r="K321" s="2">
        <v>0</v>
      </c>
      <c r="L321" s="2">
        <v>4.0999999999999996</v>
      </c>
      <c r="M321" s="5">
        <f t="shared" si="0"/>
        <v>0</v>
      </c>
      <c r="N321" s="5">
        <f t="shared" si="1"/>
        <v>0</v>
      </c>
      <c r="O321" s="5">
        <f t="shared" si="2"/>
        <v>1</v>
      </c>
      <c r="P321" s="5">
        <f t="shared" si="3"/>
        <v>0</v>
      </c>
      <c r="Q321" s="5">
        <f t="shared" si="4"/>
        <v>0</v>
      </c>
      <c r="R321" s="5">
        <f t="shared" si="5"/>
        <v>0</v>
      </c>
      <c r="S321" s="2">
        <v>71443.61</v>
      </c>
      <c r="T321" s="2">
        <v>559660.84</v>
      </c>
      <c r="U321" s="12">
        <f t="shared" si="16"/>
        <v>557669.31029480009</v>
      </c>
      <c r="V321">
        <f t="shared" si="15"/>
        <v>1991.5297051998787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1"/>
  <sheetViews>
    <sheetView showGridLines="0" workbookViewId="0">
      <selection activeCell="L31" sqref="L31"/>
    </sheetView>
  </sheetViews>
  <sheetFormatPr defaultRowHeight="14.25"/>
  <cols>
    <col min="1" max="1" width="18" bestFit="1" customWidth="1"/>
    <col min="2" max="2" width="11.875" bestFit="1" customWidth="1"/>
    <col min="3" max="3" width="13.5" bestFit="1" customWidth="1"/>
    <col min="4" max="5" width="12.25" bestFit="1" customWidth="1"/>
    <col min="6" max="6" width="12.875" bestFit="1" customWidth="1"/>
    <col min="7" max="8" width="11.875" bestFit="1" customWidth="1"/>
    <col min="9" max="9" width="12" bestFit="1" customWidth="1"/>
  </cols>
  <sheetData>
    <row r="1" spans="1:9">
      <c r="A1" t="s">
        <v>108</v>
      </c>
    </row>
    <row r="2" spans="1:9" ht="15" thickBot="1"/>
    <row r="3" spans="1:9">
      <c r="A3" s="10" t="s">
        <v>109</v>
      </c>
      <c r="B3" s="10"/>
    </row>
    <row r="4" spans="1:9">
      <c r="A4" s="7" t="s">
        <v>110</v>
      </c>
      <c r="B4" s="7">
        <v>0.40733219276521404</v>
      </c>
    </row>
    <row r="5" spans="1:9">
      <c r="A5" s="7" t="s">
        <v>111</v>
      </c>
      <c r="B5" s="7">
        <v>0.16591951526291751</v>
      </c>
    </row>
    <row r="6" spans="1:9">
      <c r="A6" s="7" t="s">
        <v>112</v>
      </c>
      <c r="B6" s="7">
        <v>0.16328834654134944</v>
      </c>
    </row>
    <row r="7" spans="1:9">
      <c r="A7" s="7" t="s">
        <v>113</v>
      </c>
      <c r="B7" s="7">
        <v>94867.72385756555</v>
      </c>
    </row>
    <row r="8" spans="1:9" ht="15" thickBot="1">
      <c r="A8" s="8" t="s">
        <v>114</v>
      </c>
      <c r="B8" s="8">
        <v>319</v>
      </c>
    </row>
    <row r="10" spans="1:9" ht="15" thickBot="1">
      <c r="A10" t="s">
        <v>115</v>
      </c>
    </row>
    <row r="11" spans="1:9">
      <c r="A11" s="9"/>
      <c r="B11" s="9" t="s">
        <v>120</v>
      </c>
      <c r="C11" s="9" t="s">
        <v>121</v>
      </c>
      <c r="D11" s="9" t="s">
        <v>122</v>
      </c>
      <c r="E11" s="9" t="s">
        <v>123</v>
      </c>
      <c r="F11" s="9" t="s">
        <v>124</v>
      </c>
    </row>
    <row r="12" spans="1:9">
      <c r="A12" s="7" t="s">
        <v>116</v>
      </c>
      <c r="B12" s="7">
        <v>1</v>
      </c>
      <c r="C12" s="7">
        <v>567525962643.5542</v>
      </c>
      <c r="D12" s="7">
        <v>567525962643.5542</v>
      </c>
      <c r="E12" s="7">
        <v>63.059245841154329</v>
      </c>
      <c r="F12" s="7">
        <v>3.5154912818723563E-14</v>
      </c>
    </row>
    <row r="13" spans="1:9">
      <c r="A13" s="7" t="s">
        <v>117</v>
      </c>
      <c r="B13" s="7">
        <v>317</v>
      </c>
      <c r="C13" s="7">
        <v>2852963554483.1538</v>
      </c>
      <c r="D13" s="7">
        <v>8999885029.9153118</v>
      </c>
      <c r="E13" s="7"/>
      <c r="F13" s="7"/>
    </row>
    <row r="14" spans="1:9" ht="15" thickBot="1">
      <c r="A14" s="8" t="s">
        <v>118</v>
      </c>
      <c r="B14" s="8">
        <v>318</v>
      </c>
      <c r="C14" s="8">
        <v>3420489517126.708</v>
      </c>
      <c r="D14" s="8"/>
      <c r="E14" s="8"/>
      <c r="F14" s="8"/>
    </row>
    <row r="15" spans="1:9" ht="15" thickBot="1"/>
    <row r="16" spans="1:9">
      <c r="A16" s="9"/>
      <c r="B16" s="9" t="s">
        <v>125</v>
      </c>
      <c r="C16" s="9" t="s">
        <v>113</v>
      </c>
      <c r="D16" s="9" t="s">
        <v>126</v>
      </c>
      <c r="E16" s="9" t="s">
        <v>127</v>
      </c>
      <c r="F16" s="9" t="s">
        <v>128</v>
      </c>
      <c r="G16" s="9" t="s">
        <v>129</v>
      </c>
      <c r="H16" s="9" t="s">
        <v>130</v>
      </c>
      <c r="I16" s="9" t="s">
        <v>131</v>
      </c>
    </row>
    <row r="17" spans="1:9">
      <c r="A17" s="7" t="s">
        <v>119</v>
      </c>
      <c r="B17" s="7">
        <v>561666.39309905062</v>
      </c>
      <c r="C17" s="7">
        <v>15939.582100176702</v>
      </c>
      <c r="D17" s="7">
        <v>35.237209455624573</v>
      </c>
      <c r="E17" s="7">
        <v>1.1664120181453913E-111</v>
      </c>
      <c r="F17" s="7">
        <v>530305.65437634126</v>
      </c>
      <c r="G17" s="7">
        <v>593027.13182175998</v>
      </c>
      <c r="H17" s="7">
        <v>530305.65437634126</v>
      </c>
      <c r="I17" s="7">
        <v>593027.13182175998</v>
      </c>
    </row>
    <row r="18" spans="1:9" ht="15" thickBot="1">
      <c r="A18" s="8" t="s">
        <v>4</v>
      </c>
      <c r="B18" s="8">
        <v>2.1186604114061272</v>
      </c>
      <c r="C18" s="8">
        <v>0.2668007003939295</v>
      </c>
      <c r="D18" s="8">
        <v>7.9409851933594586</v>
      </c>
      <c r="E18" s="8">
        <v>3.5154912818723613E-14</v>
      </c>
      <c r="F18" s="8">
        <v>1.5937365455541401</v>
      </c>
      <c r="G18" s="8">
        <v>2.6435842772581144</v>
      </c>
      <c r="H18" s="8">
        <v>1.5937365455541401</v>
      </c>
      <c r="I18" s="8">
        <v>2.6435842772581144</v>
      </c>
    </row>
    <row r="21" spans="1:9">
      <c r="A21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8"/>
  <sheetViews>
    <sheetView showGridLines="0" workbookViewId="0">
      <selection activeCell="F32" sqref="F32"/>
    </sheetView>
  </sheetViews>
  <sheetFormatPr defaultRowHeight="14.25"/>
  <cols>
    <col min="1" max="1" width="18" bestFit="1" customWidth="1"/>
    <col min="2" max="2" width="11.875" bestFit="1" customWidth="1"/>
    <col min="3" max="3" width="13.5" bestFit="1" customWidth="1"/>
    <col min="4" max="5" width="12.25" bestFit="1" customWidth="1"/>
    <col min="6" max="6" width="12.875" bestFit="1" customWidth="1"/>
    <col min="7" max="8" width="11.875" bestFit="1" customWidth="1"/>
    <col min="9" max="9" width="12.625" customWidth="1"/>
  </cols>
  <sheetData>
    <row r="1" spans="1:9">
      <c r="A1" t="s">
        <v>108</v>
      </c>
    </row>
    <row r="2" spans="1:9" ht="15" thickBot="1"/>
    <row r="3" spans="1:9">
      <c r="A3" s="10" t="s">
        <v>109</v>
      </c>
      <c r="B3" s="10"/>
    </row>
    <row r="4" spans="1:9">
      <c r="A4" s="7" t="s">
        <v>110</v>
      </c>
      <c r="B4" s="7">
        <v>0.85841074323727351</v>
      </c>
    </row>
    <row r="5" spans="1:9">
      <c r="A5" s="7" t="s">
        <v>111</v>
      </c>
      <c r="B5" s="7">
        <v>0.73686900410516831</v>
      </c>
    </row>
    <row r="6" spans="1:9">
      <c r="A6" s="7" t="s">
        <v>112</v>
      </c>
      <c r="B6" s="7">
        <v>0.73603893787206154</v>
      </c>
    </row>
    <row r="7" spans="1:9">
      <c r="A7" s="7" t="s">
        <v>113</v>
      </c>
      <c r="B7" s="7">
        <v>53284.452224475441</v>
      </c>
    </row>
    <row r="8" spans="1:9" ht="15" thickBot="1">
      <c r="A8" s="8" t="s">
        <v>114</v>
      </c>
      <c r="B8" s="8">
        <v>319</v>
      </c>
    </row>
    <row r="10" spans="1:9" ht="15" thickBot="1">
      <c r="A10" t="s">
        <v>115</v>
      </c>
    </row>
    <row r="11" spans="1:9">
      <c r="A11" s="9"/>
      <c r="B11" s="9" t="s">
        <v>120</v>
      </c>
      <c r="C11" s="9" t="s">
        <v>121</v>
      </c>
      <c r="D11" s="9" t="s">
        <v>122</v>
      </c>
      <c r="E11" s="9" t="s">
        <v>123</v>
      </c>
      <c r="F11" s="9" t="s">
        <v>124</v>
      </c>
    </row>
    <row r="12" spans="1:9">
      <c r="A12" s="7" t="s">
        <v>116</v>
      </c>
      <c r="B12" s="7">
        <v>1</v>
      </c>
      <c r="C12" s="7">
        <v>2520452704037.3252</v>
      </c>
      <c r="D12" s="7">
        <v>2520452704037.3252</v>
      </c>
      <c r="E12" s="7">
        <v>887.72314149830788</v>
      </c>
      <c r="F12" s="7">
        <v>6.5185569967220916E-94</v>
      </c>
    </row>
    <row r="13" spans="1:9">
      <c r="A13" s="7" t="s">
        <v>117</v>
      </c>
      <c r="B13" s="7">
        <v>317</v>
      </c>
      <c r="C13" s="7">
        <v>900036813089.38257</v>
      </c>
      <c r="D13" s="7">
        <v>2839232848.8624058</v>
      </c>
      <c r="E13" s="7"/>
      <c r="F13" s="7"/>
    </row>
    <row r="14" spans="1:9" ht="15" thickBot="1">
      <c r="A14" s="8" t="s">
        <v>118</v>
      </c>
      <c r="B14" s="8">
        <v>318</v>
      </c>
      <c r="C14" s="8">
        <v>3420489517126.708</v>
      </c>
      <c r="D14" s="8"/>
      <c r="E14" s="8"/>
      <c r="F14" s="8"/>
    </row>
    <row r="15" spans="1:9" ht="15" thickBot="1"/>
    <row r="16" spans="1:9">
      <c r="A16" s="9"/>
      <c r="B16" s="9" t="s">
        <v>125</v>
      </c>
      <c r="C16" s="9" t="s">
        <v>113</v>
      </c>
      <c r="D16" s="9" t="s">
        <v>126</v>
      </c>
      <c r="E16" s="9" t="s">
        <v>127</v>
      </c>
      <c r="F16" s="9" t="s">
        <v>128</v>
      </c>
      <c r="G16" s="9" t="s">
        <v>129</v>
      </c>
      <c r="H16" s="9" t="s">
        <v>130</v>
      </c>
      <c r="I16" s="9" t="s">
        <v>131</v>
      </c>
    </row>
    <row r="17" spans="1:9">
      <c r="A17" s="7" t="s">
        <v>119</v>
      </c>
      <c r="B17" s="7">
        <v>446966.82847475843</v>
      </c>
      <c r="C17" s="7">
        <v>8402.5876050190745</v>
      </c>
      <c r="D17" s="7">
        <v>53.193950421626553</v>
      </c>
      <c r="E17" s="7">
        <v>4.8312848906103276E-160</v>
      </c>
      <c r="F17" s="7">
        <v>430434.94245544064</v>
      </c>
      <c r="G17" s="7">
        <v>463498.71449407621</v>
      </c>
      <c r="H17" s="7">
        <v>430434.94245544064</v>
      </c>
      <c r="I17" s="7">
        <v>463498.71449407621</v>
      </c>
    </row>
    <row r="18" spans="1:9" ht="15" thickBot="1">
      <c r="A18" s="8" t="s">
        <v>5</v>
      </c>
      <c r="B18" s="8">
        <v>35.629834064241322</v>
      </c>
      <c r="C18" s="8">
        <v>1.1958453773529731</v>
      </c>
      <c r="D18" s="8">
        <v>29.794683107868551</v>
      </c>
      <c r="E18" s="8">
        <v>6.5185569967220948E-94</v>
      </c>
      <c r="F18" s="8">
        <v>33.277037472948592</v>
      </c>
      <c r="G18" s="8">
        <v>37.982630655534052</v>
      </c>
      <c r="H18" s="8">
        <v>33.277037472948592</v>
      </c>
      <c r="I18" s="8">
        <v>37.982630655534052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31"/>
  <sheetViews>
    <sheetView showGridLines="0" workbookViewId="0">
      <selection activeCell="M16" sqref="M16"/>
    </sheetView>
  </sheetViews>
  <sheetFormatPr defaultRowHeight="14.25"/>
  <cols>
    <col min="1" max="1" width="21.25" bestFit="1" customWidth="1"/>
    <col min="2" max="2" width="12.5" bestFit="1" customWidth="1"/>
    <col min="3" max="3" width="13.5" bestFit="1" customWidth="1"/>
    <col min="4" max="4" width="12.5" bestFit="1" customWidth="1"/>
    <col min="5" max="5" width="12.25" bestFit="1" customWidth="1"/>
    <col min="6" max="6" width="12.875" bestFit="1" customWidth="1"/>
    <col min="7" max="9" width="12.5" bestFit="1" customWidth="1"/>
  </cols>
  <sheetData>
    <row r="1" spans="1:9">
      <c r="A1" t="s">
        <v>108</v>
      </c>
    </row>
    <row r="2" spans="1:9" ht="15" thickBot="1"/>
    <row r="3" spans="1:9">
      <c r="A3" s="10" t="s">
        <v>109</v>
      </c>
      <c r="B3" s="10"/>
    </row>
    <row r="4" spans="1:9">
      <c r="A4" s="7" t="s">
        <v>110</v>
      </c>
      <c r="B4" s="7">
        <v>0.92573613166855351</v>
      </c>
    </row>
    <row r="5" spans="1:9">
      <c r="A5" s="7" t="s">
        <v>111</v>
      </c>
      <c r="B5" s="7">
        <v>0.85698738547665754</v>
      </c>
    </row>
    <row r="6" spans="1:9">
      <c r="A6" s="7" t="s">
        <v>112</v>
      </c>
      <c r="B6" s="7">
        <v>0.85042287202312705</v>
      </c>
    </row>
    <row r="7" spans="1:9">
      <c r="A7" s="7" t="s">
        <v>113</v>
      </c>
      <c r="B7" s="7">
        <v>40133.892517127199</v>
      </c>
    </row>
    <row r="8" spans="1:9" ht="15" thickBot="1">
      <c r="A8" s="8" t="s">
        <v>114</v>
      </c>
      <c r="B8" s="8">
        <v>320</v>
      </c>
    </row>
    <row r="10" spans="1:9" ht="15" thickBot="1">
      <c r="A10" t="s">
        <v>115</v>
      </c>
    </row>
    <row r="11" spans="1:9">
      <c r="A11" s="9"/>
      <c r="B11" s="9" t="s">
        <v>120</v>
      </c>
      <c r="C11" s="9" t="s">
        <v>121</v>
      </c>
      <c r="D11" s="9" t="s">
        <v>122</v>
      </c>
      <c r="E11" s="9" t="s">
        <v>123</v>
      </c>
      <c r="F11" s="9" t="s">
        <v>124</v>
      </c>
    </row>
    <row r="12" spans="1:9">
      <c r="A12" s="7" t="s">
        <v>116</v>
      </c>
      <c r="B12" s="7">
        <v>14</v>
      </c>
      <c r="C12" s="7">
        <v>2943896171574.9619</v>
      </c>
      <c r="D12" s="7">
        <v>210278297969.64014</v>
      </c>
      <c r="E12" s="7">
        <v>130.54850013533908</v>
      </c>
      <c r="F12" s="7">
        <v>1.2489132306129039E-119</v>
      </c>
    </row>
    <row r="13" spans="1:9">
      <c r="A13" s="7" t="s">
        <v>117</v>
      </c>
      <c r="B13" s="7">
        <v>305</v>
      </c>
      <c r="C13" s="7">
        <v>491272445215.7771</v>
      </c>
      <c r="D13" s="7">
        <v>1610729328.5763183</v>
      </c>
      <c r="E13" s="7"/>
      <c r="F13" s="7"/>
    </row>
    <row r="14" spans="1:9" ht="15" thickBot="1">
      <c r="A14" s="8" t="s">
        <v>118</v>
      </c>
      <c r="B14" s="8">
        <v>319</v>
      </c>
      <c r="C14" s="8">
        <v>3435168616790.7393</v>
      </c>
      <c r="D14" s="8"/>
      <c r="E14" s="8"/>
      <c r="F14" s="8"/>
    </row>
    <row r="15" spans="1:9" ht="15" thickBot="1"/>
    <row r="16" spans="1:9">
      <c r="A16" s="9"/>
      <c r="B16" s="9" t="s">
        <v>125</v>
      </c>
      <c r="C16" s="9" t="s">
        <v>113</v>
      </c>
      <c r="D16" s="9" t="s">
        <v>126</v>
      </c>
      <c r="E16" s="9" t="s">
        <v>127</v>
      </c>
      <c r="F16" s="9" t="s">
        <v>128</v>
      </c>
      <c r="G16" s="9" t="s">
        <v>129</v>
      </c>
      <c r="H16" s="9" t="s">
        <v>130</v>
      </c>
      <c r="I16" s="9" t="s">
        <v>131</v>
      </c>
    </row>
    <row r="17" spans="1:9">
      <c r="A17" s="7" t="s">
        <v>119</v>
      </c>
      <c r="B17" s="7">
        <v>66915.468924518587</v>
      </c>
      <c r="C17" s="7">
        <v>45630.387784046776</v>
      </c>
      <c r="D17" s="7">
        <v>1.4664672419881004</v>
      </c>
      <c r="E17" s="7">
        <v>0.14355130040933917</v>
      </c>
      <c r="F17" s="7">
        <v>-22874.743728686015</v>
      </c>
      <c r="G17" s="7">
        <v>156705.68157772318</v>
      </c>
      <c r="H17" s="7">
        <v>-22874.743728686015</v>
      </c>
      <c r="I17" s="7">
        <v>156705.68157772318</v>
      </c>
    </row>
    <row r="18" spans="1:9">
      <c r="A18" s="7" t="s">
        <v>4</v>
      </c>
      <c r="B18" s="7">
        <v>1.2099284920573783</v>
      </c>
      <c r="C18" s="7">
        <v>0.11693921413810565</v>
      </c>
      <c r="D18" s="7">
        <v>10.346644630503915</v>
      </c>
      <c r="E18" s="7">
        <v>1.0557024694110925E-21</v>
      </c>
      <c r="F18" s="7">
        <v>0.9798187468881705</v>
      </c>
      <c r="G18" s="7">
        <v>1.4400382372265861</v>
      </c>
      <c r="H18" s="7">
        <v>0.9798187468881705</v>
      </c>
      <c r="I18" s="7">
        <v>1.4400382372265861</v>
      </c>
    </row>
    <row r="19" spans="1:9">
      <c r="A19" s="7" t="s">
        <v>5</v>
      </c>
      <c r="B19" s="7">
        <v>27.336194815634389</v>
      </c>
      <c r="C19" s="7">
        <v>2.3063597168415475</v>
      </c>
      <c r="D19" s="7">
        <v>11.852528734359806</v>
      </c>
      <c r="E19" s="7">
        <v>6.547570702892124E-27</v>
      </c>
      <c r="F19" s="7">
        <v>22.797804074576753</v>
      </c>
      <c r="G19" s="7">
        <v>31.874585556692026</v>
      </c>
      <c r="H19" s="7">
        <v>22.797804074576753</v>
      </c>
      <c r="I19" s="7">
        <v>31.874585556692026</v>
      </c>
    </row>
    <row r="20" spans="1:9">
      <c r="A20" s="7" t="s">
        <v>6</v>
      </c>
      <c r="B20" s="7">
        <v>-41243.148834222455</v>
      </c>
      <c r="C20" s="7">
        <v>33875.970771640059</v>
      </c>
      <c r="D20" s="7">
        <v>-1.2174750389367432</v>
      </c>
      <c r="E20" s="7">
        <v>0.22436462898846832</v>
      </c>
      <c r="F20" s="7">
        <v>-107903.34540793533</v>
      </c>
      <c r="G20" s="7">
        <v>25417.047739490416</v>
      </c>
      <c r="H20" s="7">
        <v>-107903.34540793533</v>
      </c>
      <c r="I20" s="7">
        <v>25417.047739490416</v>
      </c>
    </row>
    <row r="21" spans="1:9">
      <c r="A21" s="7" t="s">
        <v>7</v>
      </c>
      <c r="B21" s="7">
        <v>3508.3991633992505</v>
      </c>
      <c r="C21" s="7">
        <v>1161.8068351442296</v>
      </c>
      <c r="D21" s="7">
        <v>3.0197783807699059</v>
      </c>
      <c r="E21" s="7">
        <v>2.743413751647196E-3</v>
      </c>
      <c r="F21" s="7">
        <v>1222.2278671294696</v>
      </c>
      <c r="G21" s="7">
        <v>5794.5704596690312</v>
      </c>
      <c r="H21" s="7">
        <v>1222.2278671294696</v>
      </c>
      <c r="I21" s="7">
        <v>5794.5704596690312</v>
      </c>
    </row>
    <row r="22" spans="1:9">
      <c r="A22" s="7" t="s">
        <v>8</v>
      </c>
      <c r="B22" s="7">
        <v>3062.2102855188873</v>
      </c>
      <c r="C22" s="7">
        <v>426.10270671364907</v>
      </c>
      <c r="D22" s="7">
        <v>7.1865544087631523</v>
      </c>
      <c r="E22" s="7">
        <v>5.1341389890714699E-12</v>
      </c>
      <c r="F22" s="7">
        <v>2223.7371866489939</v>
      </c>
      <c r="G22" s="7">
        <v>3900.6833843887807</v>
      </c>
      <c r="H22" s="7">
        <v>2223.7371866489939</v>
      </c>
      <c r="I22" s="7">
        <v>3900.6833843887807</v>
      </c>
    </row>
    <row r="23" spans="1:9">
      <c r="A23" s="7" t="s">
        <v>9</v>
      </c>
      <c r="B23" s="7">
        <v>-3438.1079103628763</v>
      </c>
      <c r="C23" s="7">
        <v>540.28003647917888</v>
      </c>
      <c r="D23" s="7">
        <v>-6.3635664437424992</v>
      </c>
      <c r="E23" s="7">
        <v>7.2150944275525095E-10</v>
      </c>
      <c r="F23" s="7">
        <v>-4501.2559948660555</v>
      </c>
      <c r="G23" s="7">
        <v>-2374.9598258596966</v>
      </c>
      <c r="H23" s="7">
        <v>-4501.2559948660555</v>
      </c>
      <c r="I23" s="7">
        <v>-2374.9598258596966</v>
      </c>
    </row>
    <row r="24" spans="1:9">
      <c r="A24" s="7" t="s">
        <v>10</v>
      </c>
      <c r="B24" s="7">
        <v>15157.287282129988</v>
      </c>
      <c r="C24" s="7">
        <v>6127.8091647488773</v>
      </c>
      <c r="D24" s="7">
        <v>2.4735246928583399</v>
      </c>
      <c r="E24" s="7">
        <v>1.3923163143673069E-2</v>
      </c>
      <c r="F24" s="7">
        <v>3099.1542106985007</v>
      </c>
      <c r="G24" s="7">
        <v>27215.420353561476</v>
      </c>
      <c r="H24" s="7">
        <v>3099.1542106985007</v>
      </c>
      <c r="I24" s="7">
        <v>27215.420353561476</v>
      </c>
    </row>
    <row r="25" spans="1:9">
      <c r="A25" s="7" t="s">
        <v>11</v>
      </c>
      <c r="B25" s="7">
        <v>12509.461305565355</v>
      </c>
      <c r="C25" s="7">
        <v>4448.8855743030499</v>
      </c>
      <c r="D25" s="7">
        <v>2.8118190716840483</v>
      </c>
      <c r="E25" s="7">
        <v>5.2453968408664679E-3</v>
      </c>
      <c r="F25" s="7">
        <v>3755.0675520652821</v>
      </c>
      <c r="G25" s="7">
        <v>21263.855059065427</v>
      </c>
      <c r="H25" s="7">
        <v>3755.0675520652821</v>
      </c>
      <c r="I25" s="7">
        <v>21263.855059065427</v>
      </c>
    </row>
    <row r="26" spans="1:9">
      <c r="A26" s="7" t="s">
        <v>102</v>
      </c>
      <c r="B26" s="7">
        <v>-15342.705306151736</v>
      </c>
      <c r="C26" s="7">
        <v>6672.8091637719654</v>
      </c>
      <c r="D26" s="7">
        <v>-2.2992872910932918</v>
      </c>
      <c r="E26" s="7">
        <v>2.2164147770673548E-2</v>
      </c>
      <c r="F26" s="7">
        <v>-28473.27427358909</v>
      </c>
      <c r="G26" s="7">
        <v>-2212.1363387143815</v>
      </c>
      <c r="H26" s="7">
        <v>-28473.27427358909</v>
      </c>
      <c r="I26" s="7">
        <v>-2212.1363387143815</v>
      </c>
    </row>
    <row r="27" spans="1:9">
      <c r="A27" s="7" t="s">
        <v>103</v>
      </c>
      <c r="B27" s="7">
        <v>-4201.8532174942347</v>
      </c>
      <c r="C27" s="7">
        <v>6810.2061597560396</v>
      </c>
      <c r="D27" s="7">
        <v>-0.61699354159415887</v>
      </c>
      <c r="E27" s="7">
        <v>0.53769928738348494</v>
      </c>
      <c r="F27" s="7">
        <v>-17602.788186327587</v>
      </c>
      <c r="G27" s="7">
        <v>9199.0817513391175</v>
      </c>
      <c r="H27" s="7">
        <v>-17602.788186327587</v>
      </c>
      <c r="I27" s="7">
        <v>9199.0817513391175</v>
      </c>
    </row>
    <row r="28" spans="1:9">
      <c r="A28" s="7" t="s">
        <v>104</v>
      </c>
      <c r="B28" s="7">
        <v>-25291.418908062984</v>
      </c>
      <c r="C28" s="7">
        <v>5898.7976000956241</v>
      </c>
      <c r="D28" s="7">
        <v>-4.287554959955397</v>
      </c>
      <c r="E28" s="7">
        <v>2.4264744378681141E-5</v>
      </c>
      <c r="F28" s="7">
        <v>-36898.909368531436</v>
      </c>
      <c r="G28" s="7">
        <v>-13683.928447594533</v>
      </c>
      <c r="H28" s="7">
        <v>-36898.909368531436</v>
      </c>
      <c r="I28" s="7">
        <v>-13683.928447594533</v>
      </c>
    </row>
    <row r="29" spans="1:9">
      <c r="A29" s="7" t="s">
        <v>105</v>
      </c>
      <c r="B29" s="7">
        <v>32832.853512031252</v>
      </c>
      <c r="C29" s="7">
        <v>6158.372532679462</v>
      </c>
      <c r="D29" s="7">
        <v>5.3314172434037408</v>
      </c>
      <c r="E29" s="7">
        <v>1.8999741399090075E-7</v>
      </c>
      <c r="F29" s="7">
        <v>20714.578692103714</v>
      </c>
      <c r="G29" s="7">
        <v>44951.128331958789</v>
      </c>
      <c r="H29" s="7">
        <v>20714.578692103714</v>
      </c>
      <c r="I29" s="7">
        <v>44951.128331958789</v>
      </c>
    </row>
    <row r="30" spans="1:9">
      <c r="A30" s="7" t="s">
        <v>106</v>
      </c>
      <c r="B30" s="7">
        <v>20219.259073528694</v>
      </c>
      <c r="C30" s="7">
        <v>5565.0328301921654</v>
      </c>
      <c r="D30" s="7">
        <v>3.6332686060417196</v>
      </c>
      <c r="E30" s="7">
        <v>3.2825493713785076E-4</v>
      </c>
      <c r="F30" s="7">
        <v>9268.541678579908</v>
      </c>
      <c r="G30" s="7">
        <v>31169.976468477478</v>
      </c>
      <c r="H30" s="7">
        <v>9268.541678579908</v>
      </c>
      <c r="I30" s="7">
        <v>31169.976468477478</v>
      </c>
    </row>
    <row r="31" spans="1:9" ht="15" thickBot="1">
      <c r="A31" s="8" t="s">
        <v>107</v>
      </c>
      <c r="B31" s="8">
        <v>44695.094897740331</v>
      </c>
      <c r="C31" s="8">
        <v>8748.7921084708596</v>
      </c>
      <c r="D31" s="8">
        <v>5.1087160768702136</v>
      </c>
      <c r="E31" s="8">
        <v>5.7286744398295305E-7</v>
      </c>
      <c r="F31" s="8">
        <v>27479.464217675817</v>
      </c>
      <c r="G31" s="8">
        <v>61910.725577804849</v>
      </c>
      <c r="H31" s="8">
        <v>27479.464217675817</v>
      </c>
      <c r="I31" s="8">
        <v>61910.725577804849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D323"/>
  <sheetViews>
    <sheetView tabSelected="1" workbookViewId="0">
      <pane ySplit="1" topLeftCell="A2" activePane="bottomLeft" state="frozen"/>
      <selection pane="bottomLeft" activeCell="V1" sqref="V1"/>
    </sheetView>
  </sheetViews>
  <sheetFormatPr defaultRowHeight="14.25"/>
  <cols>
    <col min="1" max="1" width="9.25" bestFit="1" customWidth="1"/>
    <col min="2" max="2" width="13.875" hidden="1" customWidth="1"/>
    <col min="3" max="3" width="12.5" hidden="1" customWidth="1"/>
    <col min="4" max="4" width="19" hidden="1" customWidth="1"/>
    <col min="5" max="19" width="0" hidden="1" customWidth="1"/>
    <col min="20" max="20" width="16.625" customWidth="1"/>
    <col min="21" max="21" width="17.75" customWidth="1"/>
    <col min="22" max="22" width="18.75" customWidth="1"/>
    <col min="26" max="26" width="5.75" customWidth="1"/>
    <col min="28" max="28" width="18.75" bestFit="1" customWidth="1"/>
    <col min="29" max="29" width="13.875" bestFit="1" customWidth="1"/>
  </cols>
  <sheetData>
    <row r="1" spans="1:30" ht="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102</v>
      </c>
      <c r="N1" s="11" t="s">
        <v>103</v>
      </c>
      <c r="O1" s="11" t="s">
        <v>104</v>
      </c>
      <c r="P1" s="13" t="s">
        <v>105</v>
      </c>
      <c r="Q1" s="13" t="s">
        <v>106</v>
      </c>
      <c r="R1" s="13" t="s">
        <v>107</v>
      </c>
      <c r="S1" s="1" t="s">
        <v>13</v>
      </c>
      <c r="T1" s="1" t="s">
        <v>12</v>
      </c>
      <c r="U1" s="1" t="s">
        <v>132</v>
      </c>
      <c r="V1" s="1" t="s">
        <v>117</v>
      </c>
      <c r="Z1" s="6" t="s">
        <v>141</v>
      </c>
      <c r="AB1" s="6"/>
    </row>
    <row r="2" spans="1:30">
      <c r="A2" s="2" t="s">
        <v>79</v>
      </c>
      <c r="B2" s="3">
        <v>45689</v>
      </c>
      <c r="C2" s="2" t="s">
        <v>15</v>
      </c>
      <c r="D2" s="2" t="s">
        <v>18</v>
      </c>
      <c r="E2" s="2">
        <v>113736</v>
      </c>
      <c r="F2" s="2">
        <v>8961</v>
      </c>
      <c r="G2" s="2">
        <v>0.20200000000000001</v>
      </c>
      <c r="H2" s="2">
        <v>24</v>
      </c>
      <c r="I2" s="2">
        <v>86.2</v>
      </c>
      <c r="J2" s="2">
        <v>21.63</v>
      </c>
      <c r="K2" s="2">
        <v>0</v>
      </c>
      <c r="L2" s="2">
        <v>4</v>
      </c>
      <c r="M2" s="5">
        <f>IF(C2="North",1,0)</f>
        <v>0</v>
      </c>
      <c r="N2" s="5">
        <f>IF(C2="South",1,0)</f>
        <v>0</v>
      </c>
      <c r="O2" s="5">
        <f>IF(C2="East",1,0)</f>
        <v>1</v>
      </c>
      <c r="P2" s="5">
        <f>IF(D2="Mall",1,0)</f>
        <v>0</v>
      </c>
      <c r="Q2" s="5">
        <f>IF(D2="High Street",1,0)</f>
        <v>1</v>
      </c>
      <c r="R2" s="5">
        <f>IF(D2="Airport",1,0)</f>
        <v>0</v>
      </c>
      <c r="S2" s="2">
        <v>175282.74</v>
      </c>
      <c r="T2" s="2">
        <v>870937.4</v>
      </c>
      <c r="U2" s="12">
        <f>66915.46892
+(1.209928492*E2)
+(27.33619482*F2)
+(-41243.14883*G2)
+(3508.399163*H2)
+(3062.210286*I2)
+(-3438.10791*J2)
+(15157.28728*K2)
+(12509.46131*L2)
+(-15342.70531*M2)
+(-4201.853217*N2)
+(-25291.41891*O2)
+(32832.85351*P2)
+(20219.25907*Q2)
+(44695.0949*R2)</f>
        <v>759919.93947637209</v>
      </c>
      <c r="V2">
        <f>T2-U2</f>
        <v>111017.46052362793</v>
      </c>
    </row>
    <row r="3" spans="1:30">
      <c r="A3" s="2" t="s">
        <v>49</v>
      </c>
      <c r="B3" s="3">
        <v>45748</v>
      </c>
      <c r="C3" s="2" t="s">
        <v>15</v>
      </c>
      <c r="D3" s="2" t="s">
        <v>28</v>
      </c>
      <c r="E3" s="2">
        <v>52758.01</v>
      </c>
      <c r="F3" s="2">
        <v>4063</v>
      </c>
      <c r="G3" s="2">
        <v>5.7000000000000002E-2</v>
      </c>
      <c r="H3" s="2">
        <v>12</v>
      </c>
      <c r="I3" s="2">
        <v>91.7</v>
      </c>
      <c r="J3" s="2">
        <v>0.92</v>
      </c>
      <c r="K3" s="2">
        <v>0</v>
      </c>
      <c r="L3" s="2">
        <v>3.5</v>
      </c>
      <c r="M3" s="5">
        <f>IF(C3="North",1,0)</f>
        <v>0</v>
      </c>
      <c r="N3" s="5">
        <f>IF(C3="South",1,0)</f>
        <v>0</v>
      </c>
      <c r="O3" s="5">
        <f>IF(C3="East",1,0)</f>
        <v>1</v>
      </c>
      <c r="P3" s="5">
        <f>IF(D3="Mall",1,0)</f>
        <v>1</v>
      </c>
      <c r="Q3" s="5">
        <f>IF(D3="High Street",1,0)</f>
        <v>0</v>
      </c>
      <c r="R3" s="5">
        <f>IF(D3="Airport",1,0)</f>
        <v>0</v>
      </c>
      <c r="S3" s="2">
        <v>129717.18</v>
      </c>
      <c r="T3" s="2">
        <v>713611.16</v>
      </c>
      <c r="U3" s="12">
        <f>66915.46892
+(1.209928492*E3)
+(27.33619482*F3)
+(-41243.14883*G3)
+(3508.399163*H3)
+(3062.210286*I3)
+(-3438.10791*J3)
+(15157.28728*K3)
+(12509.46131*L3)
+(-15342.70531*M3)
+(-4201.853217*N3)
+(-25291.41891*O3)
+(32832.85351*P3)
+(20219.25907*Q3)
+(44695.0949*R3)</f>
        <v>610531.95156057086</v>
      </c>
      <c r="V3">
        <f>T3-U3</f>
        <v>103079.20843942917</v>
      </c>
      <c r="Z3" t="s">
        <v>142</v>
      </c>
    </row>
    <row r="4" spans="1:30">
      <c r="A4" s="2" t="s">
        <v>94</v>
      </c>
      <c r="B4" s="3">
        <v>45717</v>
      </c>
      <c r="C4" s="2" t="s">
        <v>15</v>
      </c>
      <c r="D4" s="2" t="s">
        <v>16</v>
      </c>
      <c r="E4" s="2">
        <v>56737.3</v>
      </c>
      <c r="F4" s="2">
        <v>8300</v>
      </c>
      <c r="G4" s="2">
        <v>3.2000000000000001E-2</v>
      </c>
      <c r="H4" s="2">
        <v>21</v>
      </c>
      <c r="I4" s="2">
        <v>83.2</v>
      </c>
      <c r="J4" s="2">
        <v>3.44</v>
      </c>
      <c r="K4" s="2">
        <v>1</v>
      </c>
      <c r="L4" s="2">
        <v>4.3</v>
      </c>
      <c r="M4" s="5">
        <f>IF(C4="North",1,0)</f>
        <v>0</v>
      </c>
      <c r="N4" s="5">
        <f>IF(C4="South",1,0)</f>
        <v>0</v>
      </c>
      <c r="O4" s="5">
        <f>IF(C4="East",1,0)</f>
        <v>1</v>
      </c>
      <c r="P4" s="5">
        <f>IF(D4="Mall",1,0)</f>
        <v>0</v>
      </c>
      <c r="Q4" s="5">
        <f>IF(D4="High Street",1,0)</f>
        <v>0</v>
      </c>
      <c r="R4" s="5">
        <f>IF(D4="Airport",1,0)</f>
        <v>0</v>
      </c>
      <c r="S4" s="2">
        <v>110077.42</v>
      </c>
      <c r="T4" s="2">
        <v>813316.71</v>
      </c>
      <c r="U4" s="12">
        <f>66915.46892
+(1.209928492*E4)
+(27.33619482*F4)
+(-41243.14883*G4)
+(3508.399163*H4)
+(3062.210286*I4)
+(-3438.10791*J4)
+(15157.28728*K4)
+(12509.46131*L4)
+(-15342.70531*M4)
+(-4201.853217*N4)
+(-25291.41891*O4)
+(32832.85351*P4)
+(20219.25907*Q4)
+(44695.0949*R4)</f>
        <v>721415.92000339169</v>
      </c>
      <c r="V4">
        <f>T4-U4</f>
        <v>91900.789996608277</v>
      </c>
    </row>
    <row r="5" spans="1:30">
      <c r="A5" s="2" t="s">
        <v>72</v>
      </c>
      <c r="B5" s="3">
        <v>45689</v>
      </c>
      <c r="C5" s="2" t="s">
        <v>15</v>
      </c>
      <c r="D5" s="2" t="s">
        <v>21</v>
      </c>
      <c r="E5" s="2">
        <v>78111.97</v>
      </c>
      <c r="F5" s="2">
        <v>6389</v>
      </c>
      <c r="G5" s="2">
        <v>0.15</v>
      </c>
      <c r="H5" s="2">
        <v>13</v>
      </c>
      <c r="I5" s="2">
        <v>83.9</v>
      </c>
      <c r="J5" s="2">
        <v>3.05</v>
      </c>
      <c r="K5" s="2">
        <v>0</v>
      </c>
      <c r="L5" s="2">
        <v>4.8</v>
      </c>
      <c r="M5" s="5">
        <f>IF(C5="North",1,0)</f>
        <v>0</v>
      </c>
      <c r="N5" s="5">
        <f>IF(C5="South",1,0)</f>
        <v>0</v>
      </c>
      <c r="O5" s="5">
        <f>IF(C5="East",1,0)</f>
        <v>1</v>
      </c>
      <c r="P5" s="5">
        <f>IF(D5="Mall",1,0)</f>
        <v>0</v>
      </c>
      <c r="Q5" s="5">
        <f>IF(D5="High Street",1,0)</f>
        <v>0</v>
      </c>
      <c r="R5" s="5">
        <f>IF(D5="Airport",1,0)</f>
        <v>1</v>
      </c>
      <c r="S5" s="2">
        <v>128969.62</v>
      </c>
      <c r="T5" s="2">
        <v>787715.51</v>
      </c>
      <c r="U5" s="12">
        <f>66915.46892
+(1.209928492*E5)
+(27.33619482*F5)
+(-41243.14883*G5)
+(3508.399163*H5)
+(3062.210286*I5)
+(-3438.10791*J5)
+(15157.28728*K5)
+(12509.46131*L5)
+(-15342.70531*M5)
+(-4201.853217*N5)
+(-25291.41891*O5)
+(32832.85351*P5)
+(20219.25907*Q5)
+(44695.0949*R5)</f>
        <v>701381.3366366293</v>
      </c>
      <c r="V5">
        <f>T5-U5</f>
        <v>86334.173363370704</v>
      </c>
      <c r="Z5" s="18" t="s">
        <v>143</v>
      </c>
      <c r="AA5" s="18" t="s">
        <v>144</v>
      </c>
      <c r="AB5" s="18" t="s">
        <v>145</v>
      </c>
      <c r="AC5" s="18" t="s">
        <v>132</v>
      </c>
      <c r="AD5" s="18" t="s">
        <v>117</v>
      </c>
    </row>
    <row r="6" spans="1:30">
      <c r="A6" s="2" t="s">
        <v>47</v>
      </c>
      <c r="B6" s="3">
        <v>45748</v>
      </c>
      <c r="C6" s="2" t="s">
        <v>15</v>
      </c>
      <c r="D6" s="2" t="s">
        <v>28</v>
      </c>
      <c r="E6" s="2">
        <v>32266.639999999999</v>
      </c>
      <c r="F6" s="2">
        <v>2414</v>
      </c>
      <c r="G6" s="2">
        <v>0.08</v>
      </c>
      <c r="H6" s="2">
        <v>7</v>
      </c>
      <c r="I6" s="2">
        <v>92.1</v>
      </c>
      <c r="J6" s="2">
        <v>1.48</v>
      </c>
      <c r="K6" s="2">
        <v>0</v>
      </c>
      <c r="L6" s="2">
        <v>5</v>
      </c>
      <c r="M6" s="5">
        <f>IF(C6="North",1,0)</f>
        <v>0</v>
      </c>
      <c r="N6" s="5">
        <f>IF(C6="South",1,0)</f>
        <v>0</v>
      </c>
      <c r="O6" s="5">
        <f>IF(C6="East",1,0)</f>
        <v>1</v>
      </c>
      <c r="P6" s="5">
        <f>IF(D6="Mall",1,0)</f>
        <v>1</v>
      </c>
      <c r="Q6" s="5">
        <f>IF(D6="High Street",1,0)</f>
        <v>0</v>
      </c>
      <c r="R6" s="5">
        <f>IF(D6="Airport",1,0)</f>
        <v>0</v>
      </c>
      <c r="S6" s="2">
        <v>120685.08</v>
      </c>
      <c r="T6" s="2">
        <v>625514.04</v>
      </c>
      <c r="U6" s="12">
        <f>66915.46892
+(1.209928492*E6)
+(27.33619482*F6)
+(-41243.14883*G6)
+(3508.399163*H6)
+(3062.210286*I6)
+(-3438.10791*J6)
+(15157.28728*K6)
+(12509.46131*L6)
+(-15342.70531*M6)
+(-4201.853217*N6)
+(-25291.41891*O6)
+(32832.85351*P6)
+(20219.25907*Q6)
+(44695.0949*R6)</f>
        <v>540234.62131098681</v>
      </c>
      <c r="V6">
        <f>T6-U6</f>
        <v>85279.418689013226</v>
      </c>
      <c r="Z6" s="18">
        <v>1</v>
      </c>
      <c r="AA6" s="19" t="s">
        <v>44</v>
      </c>
      <c r="AB6" s="19">
        <v>627171.9</v>
      </c>
      <c r="AC6" s="18">
        <v>764038.71097955271</v>
      </c>
      <c r="AD6" s="18">
        <v>-136866.81097955268</v>
      </c>
    </row>
    <row r="7" spans="1:30">
      <c r="A7" s="2" t="s">
        <v>51</v>
      </c>
      <c r="B7" s="3">
        <v>45689</v>
      </c>
      <c r="C7" s="2" t="s">
        <v>27</v>
      </c>
      <c r="D7" s="2" t="s">
        <v>16</v>
      </c>
      <c r="E7" s="2">
        <v>57360.01</v>
      </c>
      <c r="F7" s="2">
        <v>8434</v>
      </c>
      <c r="G7" s="2">
        <v>0.151</v>
      </c>
      <c r="H7" s="2">
        <v>19</v>
      </c>
      <c r="I7" s="2">
        <v>84.1</v>
      </c>
      <c r="J7" s="2">
        <v>1.56</v>
      </c>
      <c r="K7" s="2">
        <v>0</v>
      </c>
      <c r="L7" s="2">
        <v>4.7</v>
      </c>
      <c r="M7" s="5">
        <f>IF(C7="North",1,0)</f>
        <v>0</v>
      </c>
      <c r="N7" s="5">
        <f>IF(C7="South",1,0)</f>
        <v>0</v>
      </c>
      <c r="O7" s="5">
        <f>IF(C7="East",1,0)</f>
        <v>0</v>
      </c>
      <c r="P7" s="5">
        <f>IF(D7="Mall",1,0)</f>
        <v>0</v>
      </c>
      <c r="Q7" s="5">
        <f>IF(D7="High Street",1,0)</f>
        <v>0</v>
      </c>
      <c r="R7" s="5">
        <f>IF(D7="Airport",1,0)</f>
        <v>0</v>
      </c>
      <c r="S7" s="2">
        <v>99035.88</v>
      </c>
      <c r="T7" s="2">
        <v>820519.04</v>
      </c>
      <c r="U7" s="12">
        <f>66915.46892
+(1.209928492*E7)
+(27.33619482*F7)
+(-41243.14883*G7)
+(3508.399163*H7)
+(3062.210286*I7)
+(-3438.10791*J7)
+(15157.28728*K7)
+(12509.46131*L7)
+(-15342.70531*M7)
+(-4201.853217*N7)
+(-25291.41891*O7)
+(32832.85351*P7)
+(20219.25907*Q7)
+(44695.0949*R7)</f>
        <v>738265.21992595494</v>
      </c>
      <c r="V7">
        <f>T7-U7</f>
        <v>82253.820074045099</v>
      </c>
      <c r="Z7" s="18">
        <v>2</v>
      </c>
      <c r="AA7" s="19" t="s">
        <v>38</v>
      </c>
      <c r="AB7" s="19">
        <v>685379.08</v>
      </c>
      <c r="AC7" s="18">
        <v>805279.85133228125</v>
      </c>
      <c r="AD7" s="18">
        <v>-119900.77133228129</v>
      </c>
    </row>
    <row r="8" spans="1:30">
      <c r="A8" s="2" t="s">
        <v>85</v>
      </c>
      <c r="B8" s="3">
        <v>45689</v>
      </c>
      <c r="C8" s="2" t="s">
        <v>24</v>
      </c>
      <c r="D8" s="2" t="s">
        <v>21</v>
      </c>
      <c r="E8" s="2">
        <v>63582.11</v>
      </c>
      <c r="F8" s="2">
        <v>6856</v>
      </c>
      <c r="G8" s="2">
        <v>7.3999999999999996E-2</v>
      </c>
      <c r="H8" s="2">
        <v>17</v>
      </c>
      <c r="I8" s="2">
        <v>89.5</v>
      </c>
      <c r="J8" s="2">
        <v>5.48</v>
      </c>
      <c r="K8" s="2">
        <v>0</v>
      </c>
      <c r="L8" s="2">
        <v>3.2</v>
      </c>
      <c r="M8" s="5">
        <f>IF(C8="North",1,0)</f>
        <v>0</v>
      </c>
      <c r="N8" s="5">
        <f>IF(C8="South",1,0)</f>
        <v>1</v>
      </c>
      <c r="O8" s="5">
        <f>IF(C8="East",1,0)</f>
        <v>0</v>
      </c>
      <c r="P8" s="5">
        <f>IF(D8="Mall",1,0)</f>
        <v>0</v>
      </c>
      <c r="Q8" s="5">
        <f>IF(D8="High Street",1,0)</f>
        <v>0</v>
      </c>
      <c r="R8" s="5">
        <f>IF(D8="Airport",1,0)</f>
        <v>1</v>
      </c>
      <c r="S8" s="2">
        <v>144553.64000000001</v>
      </c>
      <c r="T8" s="2">
        <v>799046.94</v>
      </c>
      <c r="U8" s="12">
        <f>66915.46892
+(1.209928492*E8)
+(27.33619482*F8)
+(-41243.14883*G8)
+(3508.399163*H8)
+(3062.210286*I8)
+(-3438.10791*J8)
+(15157.28728*K8)
+(12509.46131*L8)
+(-15342.70531*M8)
+(-4201.853217*N8)
+(-25291.41891*O8)
+(32832.85351*P8)
+(20219.25907*Q8)
+(44695.0949*R8)</f>
        <v>723603.52695917815</v>
      </c>
      <c r="V8">
        <f>T8-U8</f>
        <v>75443.41304082179</v>
      </c>
      <c r="Z8" s="18">
        <v>3</v>
      </c>
      <c r="AA8" s="19" t="s">
        <v>33</v>
      </c>
      <c r="AB8" s="19">
        <v>595467.6</v>
      </c>
      <c r="AC8" s="18">
        <v>709913.77556969097</v>
      </c>
      <c r="AD8" s="18">
        <v>-114446.175569691</v>
      </c>
    </row>
    <row r="9" spans="1:30">
      <c r="A9" s="2" t="s">
        <v>90</v>
      </c>
      <c r="B9" s="3">
        <v>45748</v>
      </c>
      <c r="C9" s="2" t="s">
        <v>27</v>
      </c>
      <c r="D9" s="2" t="s">
        <v>18</v>
      </c>
      <c r="E9" s="2">
        <v>38297.58</v>
      </c>
      <c r="F9" s="2">
        <v>5893</v>
      </c>
      <c r="G9" s="2">
        <v>0.247</v>
      </c>
      <c r="H9" s="2">
        <v>18</v>
      </c>
      <c r="I9" s="2">
        <v>77.599999999999994</v>
      </c>
      <c r="J9" s="2">
        <v>2.86</v>
      </c>
      <c r="K9" s="2">
        <v>0</v>
      </c>
      <c r="L9" s="2">
        <v>3</v>
      </c>
      <c r="M9" s="5">
        <f>IF(C9="North",1,0)</f>
        <v>0</v>
      </c>
      <c r="N9" s="5">
        <f>IF(C9="South",1,0)</f>
        <v>0</v>
      </c>
      <c r="O9" s="5">
        <f>IF(C9="East",1,0)</f>
        <v>0</v>
      </c>
      <c r="P9" s="5">
        <f>IF(D9="Mall",1,0)</f>
        <v>0</v>
      </c>
      <c r="Q9" s="5">
        <f>IF(D9="High Street",1,0)</f>
        <v>1</v>
      </c>
      <c r="R9" s="5">
        <f>IF(D9="Airport",1,0)</f>
        <v>0</v>
      </c>
      <c r="S9" s="2">
        <v>83839.67</v>
      </c>
      <c r="T9" s="2">
        <v>686737.87</v>
      </c>
      <c r="U9" s="12">
        <f>66915.46892
+(1.209928492*E9)
+(27.33619482*F9)
+(-41243.14883*G9)
+(3508.399163*H9)
+(3062.210286*I9)
+(-3438.10791*J9)
+(15157.28728*K9)
+(12509.46131*L9)
+(-15342.70531*M9)
+(-4201.853217*N9)
+(-25291.41891*O9)
+(32832.85351*P9)
+(20219.25907*Q9)
+(44695.0949*R9)</f>
        <v>612851.29795489938</v>
      </c>
      <c r="V9">
        <f>T9-U9</f>
        <v>73886.57204510062</v>
      </c>
      <c r="Z9" s="18">
        <v>4</v>
      </c>
      <c r="AA9" s="19" t="s">
        <v>26</v>
      </c>
      <c r="AB9" s="19">
        <v>800451.94</v>
      </c>
      <c r="AC9" s="18">
        <v>912344.87052473577</v>
      </c>
      <c r="AD9" s="18">
        <v>-111892.93052473583</v>
      </c>
    </row>
    <row r="10" spans="1:30">
      <c r="A10" s="2" t="s">
        <v>71</v>
      </c>
      <c r="B10" s="3">
        <v>45748</v>
      </c>
      <c r="C10" s="2" t="s">
        <v>20</v>
      </c>
      <c r="D10" s="2" t="s">
        <v>16</v>
      </c>
      <c r="E10" s="2">
        <v>61391.8</v>
      </c>
      <c r="F10" s="2">
        <v>5575</v>
      </c>
      <c r="G10" s="2">
        <v>0.189</v>
      </c>
      <c r="H10" s="2">
        <v>18</v>
      </c>
      <c r="I10" s="2">
        <v>90</v>
      </c>
      <c r="J10" s="2">
        <v>1.8</v>
      </c>
      <c r="K10" s="2">
        <v>0</v>
      </c>
      <c r="L10" s="2">
        <v>4.8</v>
      </c>
      <c r="M10" s="5">
        <f>IF(C10="North",1,0)</f>
        <v>1</v>
      </c>
      <c r="N10" s="5">
        <f>IF(C10="South",1,0)</f>
        <v>0</v>
      </c>
      <c r="O10" s="5">
        <f>IF(C10="East",1,0)</f>
        <v>0</v>
      </c>
      <c r="P10" s="5">
        <f>IF(D10="Mall",1,0)</f>
        <v>0</v>
      </c>
      <c r="Q10" s="5">
        <f>IF(D10="High Street",1,0)</f>
        <v>0</v>
      </c>
      <c r="R10" s="5">
        <f>IF(D10="Airport",1,0)</f>
        <v>0</v>
      </c>
      <c r="S10" s="2">
        <v>126540.66</v>
      </c>
      <c r="T10" s="2">
        <v>735786.64</v>
      </c>
      <c r="U10" s="12">
        <f>66915.46892
+(1.209928492*E10)
+(27.33619482*F10)
+(-41243.14883*G10)
+(3508.399163*H10)
+(3062.210286*I10)
+(-3438.10791*J10)
+(15157.28728*K10)
+(12509.46131*L10)
+(-15342.70531*M10)
+(-4201.853217*N10)
+(-25291.41891*O10)
+(32832.85351*P10)
+(20219.25907*Q10)
+(44695.0949*R10)</f>
        <v>663063.71332179557</v>
      </c>
      <c r="V10">
        <f>T10-U10</f>
        <v>72722.926678204443</v>
      </c>
      <c r="Z10" s="18">
        <v>5</v>
      </c>
      <c r="AA10" s="19" t="s">
        <v>81</v>
      </c>
      <c r="AB10" s="19">
        <v>721079.35</v>
      </c>
      <c r="AC10" s="18">
        <v>808021.7094362668</v>
      </c>
      <c r="AD10" s="18">
        <v>-86942.359436266823</v>
      </c>
    </row>
    <row r="11" spans="1:30">
      <c r="A11" s="2" t="s">
        <v>96</v>
      </c>
      <c r="B11" s="3">
        <v>45689</v>
      </c>
      <c r="C11" s="2" t="s">
        <v>27</v>
      </c>
      <c r="D11" s="2" t="s">
        <v>18</v>
      </c>
      <c r="E11" s="2">
        <v>55477.61</v>
      </c>
      <c r="F11" s="2">
        <v>5903</v>
      </c>
      <c r="G11" s="2">
        <v>0.10199999999999999</v>
      </c>
      <c r="H11" s="2">
        <v>14</v>
      </c>
      <c r="I11" s="2">
        <v>96.2</v>
      </c>
      <c r="J11" s="2">
        <v>1.41</v>
      </c>
      <c r="K11" s="2">
        <v>0</v>
      </c>
      <c r="L11" s="2">
        <v>3.3</v>
      </c>
      <c r="M11" s="5">
        <f>IF(C11="North",1,0)</f>
        <v>0</v>
      </c>
      <c r="N11" s="5">
        <f>IF(C11="South",1,0)</f>
        <v>0</v>
      </c>
      <c r="O11" s="5">
        <f>IF(C11="East",1,0)</f>
        <v>0</v>
      </c>
      <c r="P11" s="5">
        <f>IF(D11="Mall",1,0)</f>
        <v>0</v>
      </c>
      <c r="Q11" s="5">
        <f>IF(D11="High Street",1,0)</f>
        <v>1</v>
      </c>
      <c r="R11" s="5">
        <f>IF(D11="Airport",1,0)</f>
        <v>0</v>
      </c>
      <c r="S11" s="2">
        <v>162524.04999999999</v>
      </c>
      <c r="T11" s="2">
        <v>763162.45</v>
      </c>
      <c r="U11" s="12">
        <f>66915.46892
+(1.209928492*E11)
+(27.33619482*F11)
+(-41243.14883*G11)
+(3508.399163*H11)
+(3062.210286*I11)
+(-3438.10791*J11)
+(15157.28728*K11)
+(12509.46131*L11)
+(-15342.70531*M11)
+(-4201.853217*N11)
+(-25291.41891*O11)
+(32832.85351*P11)
+(20219.25907*Q11)
+(44695.0949*R11)</f>
        <v>691553.13380396413</v>
      </c>
      <c r="V11">
        <f>T11-U11</f>
        <v>71609.316196035827</v>
      </c>
    </row>
    <row r="12" spans="1:30">
      <c r="A12" s="2" t="s">
        <v>48</v>
      </c>
      <c r="B12" s="3">
        <v>45717</v>
      </c>
      <c r="C12" s="2" t="s">
        <v>27</v>
      </c>
      <c r="D12" s="2" t="s">
        <v>18</v>
      </c>
      <c r="E12" s="2">
        <v>64294.23</v>
      </c>
      <c r="F12" s="2">
        <v>6992</v>
      </c>
      <c r="G12" s="2">
        <v>0.13300000000000001</v>
      </c>
      <c r="H12" s="2">
        <v>14</v>
      </c>
      <c r="I12" s="2">
        <v>94.1</v>
      </c>
      <c r="J12" s="2">
        <v>0.25</v>
      </c>
      <c r="K12" s="2">
        <v>0</v>
      </c>
      <c r="L12" s="2">
        <v>3</v>
      </c>
      <c r="M12" s="5">
        <f>IF(C12="North",1,0)</f>
        <v>0</v>
      </c>
      <c r="N12" s="5">
        <f>IF(C12="South",1,0)</f>
        <v>0</v>
      </c>
      <c r="O12" s="5">
        <f>IF(C12="East",1,0)</f>
        <v>0</v>
      </c>
      <c r="P12" s="5">
        <f>IF(D12="Mall",1,0)</f>
        <v>0</v>
      </c>
      <c r="Q12" s="5">
        <f>IF(D12="High Street",1,0)</f>
        <v>1</v>
      </c>
      <c r="R12" s="5">
        <f>IF(D12="Airport",1,0)</f>
        <v>0</v>
      </c>
      <c r="S12" s="2">
        <v>143194.21</v>
      </c>
      <c r="T12" s="2">
        <v>795153.84</v>
      </c>
      <c r="U12" s="12">
        <f>66915.46892
+(1.209928492*E12)
+(27.33619482*F12)
+(-41243.14883*G12)
+(3508.399163*H12)
+(3062.210286*I12)
+(-3438.10791*J12)
+(15157.28728*K12)
+(12509.46131*L12)
+(-15342.70531*M12)
+(-4201.853217*N12)
+(-25291.41891*O12)
+(32832.85351*P12)
+(20219.25907*Q12)
+(44695.0949*R12)</f>
        <v>724515.91727235122</v>
      </c>
      <c r="V12">
        <f>T12-U12</f>
        <v>70637.922727648751</v>
      </c>
    </row>
    <row r="13" spans="1:30">
      <c r="A13" s="2" t="s">
        <v>46</v>
      </c>
      <c r="B13" s="3">
        <v>45689</v>
      </c>
      <c r="C13" s="2" t="s">
        <v>27</v>
      </c>
      <c r="D13" s="2" t="s">
        <v>28</v>
      </c>
      <c r="E13" s="2">
        <v>78839.39</v>
      </c>
      <c r="F13" s="2">
        <v>5150</v>
      </c>
      <c r="G13" s="2">
        <v>0.17100000000000001</v>
      </c>
      <c r="H13" s="2">
        <v>13</v>
      </c>
      <c r="I13" s="2">
        <v>85.8</v>
      </c>
      <c r="J13" s="2">
        <v>7.57</v>
      </c>
      <c r="K13" s="2">
        <v>0</v>
      </c>
      <c r="L13" s="2">
        <v>4.3</v>
      </c>
      <c r="M13" s="5">
        <f>IF(C13="North",1,0)</f>
        <v>0</v>
      </c>
      <c r="N13" s="5">
        <f>IF(C13="South",1,0)</f>
        <v>0</v>
      </c>
      <c r="O13" s="5">
        <f>IF(C13="East",1,0)</f>
        <v>0</v>
      </c>
      <c r="P13" s="5">
        <f>IF(D13="Mall",1,0)</f>
        <v>1</v>
      </c>
      <c r="Q13" s="5">
        <f>IF(D13="High Street",1,0)</f>
        <v>0</v>
      </c>
      <c r="R13" s="5">
        <f>IF(D13="Airport",1,0)</f>
        <v>0</v>
      </c>
      <c r="S13" s="2">
        <v>83895.96</v>
      </c>
      <c r="T13" s="2">
        <v>735509.4</v>
      </c>
      <c r="U13" s="12">
        <f>66915.46892
+(1.209928492*E13)
+(27.33619482*F13)
+(-41243.14883*G13)
+(3508.399163*H13)
+(3062.210286*I13)
+(-3438.10791*J13)
+(15157.28728*K13)
+(12509.46131*L13)
+(-15342.70531*M13)
+(-4201.853217*N13)
+(-25291.41891*O13)
+(32832.85351*P13)
+(20219.25907*Q13)
+(44695.0949*R13)</f>
        <v>664978.20996806992</v>
      </c>
      <c r="V13">
        <f>T13-U13</f>
        <v>70531.190031930106</v>
      </c>
      <c r="Z13" t="s">
        <v>146</v>
      </c>
    </row>
    <row r="14" spans="1:30">
      <c r="A14" s="2" t="s">
        <v>80</v>
      </c>
      <c r="B14" s="3">
        <v>45689</v>
      </c>
      <c r="C14" s="2" t="s">
        <v>27</v>
      </c>
      <c r="D14" s="2" t="s">
        <v>16</v>
      </c>
      <c r="E14" s="2">
        <v>61650.79</v>
      </c>
      <c r="F14" s="2">
        <v>5321</v>
      </c>
      <c r="G14" s="2">
        <v>0.126</v>
      </c>
      <c r="H14" s="2">
        <v>17</v>
      </c>
      <c r="I14" s="2">
        <v>89.2</v>
      </c>
      <c r="J14" s="2">
        <v>2.13</v>
      </c>
      <c r="K14" s="2">
        <v>0</v>
      </c>
      <c r="L14" s="2">
        <v>4</v>
      </c>
      <c r="M14" s="5">
        <f>IF(C14="North",1,0)</f>
        <v>0</v>
      </c>
      <c r="N14" s="5">
        <f>IF(C14="South",1,0)</f>
        <v>0</v>
      </c>
      <c r="O14" s="5">
        <f>IF(C14="East",1,0)</f>
        <v>0</v>
      </c>
      <c r="P14" s="5">
        <f>IF(D14="Mall",1,0)</f>
        <v>0</v>
      </c>
      <c r="Q14" s="5">
        <f>IF(D14="High Street",1,0)</f>
        <v>0</v>
      </c>
      <c r="R14" s="5">
        <f>IF(D14="Airport",1,0)</f>
        <v>0</v>
      </c>
      <c r="S14" s="2">
        <v>128468.7</v>
      </c>
      <c r="T14" s="2">
        <v>723305.11</v>
      </c>
      <c r="U14" s="12">
        <f>66915.46892
+(1.209928492*E14)
+(27.33619482*F14)
+(-41243.14883*G14)
+(3508.399163*H14)
+(3062.210286*I14)
+(-3438.10791*J14)
+(15157.28728*K14)
+(12509.46131*L14)
+(-15342.70531*M14)
+(-4201.853217*N14)
+(-25291.41891*O14)
+(32832.85351*P14)
+(20219.25907*Q14)
+(44695.0949*R14)</f>
        <v>657274.39085384866</v>
      </c>
      <c r="V14">
        <f>T14-U14</f>
        <v>66030.719146151328</v>
      </c>
    </row>
    <row r="15" spans="1:30">
      <c r="A15" s="2" t="s">
        <v>39</v>
      </c>
      <c r="B15" s="3">
        <v>45658</v>
      </c>
      <c r="C15" s="2" t="s">
        <v>15</v>
      </c>
      <c r="D15" s="2" t="s">
        <v>18</v>
      </c>
      <c r="E15" s="2">
        <v>70937.240000000005</v>
      </c>
      <c r="F15" s="2">
        <v>3595</v>
      </c>
      <c r="G15" s="2">
        <v>0.14099999999999999</v>
      </c>
      <c r="H15" s="2">
        <v>11</v>
      </c>
      <c r="I15" s="2">
        <v>88.9</v>
      </c>
      <c r="J15" s="2">
        <v>2.83</v>
      </c>
      <c r="K15" s="2">
        <v>1</v>
      </c>
      <c r="L15" s="2">
        <v>3.3</v>
      </c>
      <c r="M15" s="5">
        <f>IF(C15="North",1,0)</f>
        <v>0</v>
      </c>
      <c r="N15" s="5">
        <f>IF(C15="South",1,0)</f>
        <v>0</v>
      </c>
      <c r="O15" s="5">
        <f>IF(C15="East",1,0)</f>
        <v>1</v>
      </c>
      <c r="P15" s="5">
        <f>IF(D15="Mall",1,0)</f>
        <v>0</v>
      </c>
      <c r="Q15" s="5">
        <f>IF(D15="High Street",1,0)</f>
        <v>1</v>
      </c>
      <c r="R15" s="5">
        <f>IF(D15="Airport",1,0)</f>
        <v>0</v>
      </c>
      <c r="S15" s="2">
        <v>79218.570000000007</v>
      </c>
      <c r="T15" s="2">
        <v>661927.14</v>
      </c>
      <c r="U15" s="12">
        <f>66915.46892
+(1.209928492*E15)
+(27.33619482*F15)
+(-41243.14883*G15)
+(3508.399163*H15)
+(3062.210286*I15)
+(-3438.10791*J15)
+(15157.28728*K15)
+(12509.46131*L15)
+(-15342.70531*M15)
+(-4201.853217*N15)
+(-25291.41891*O15)
+(32832.85351*P15)
+(20219.25907*Q15)
+(44695.0949*R15)</f>
        <v>597662.18272881221</v>
      </c>
      <c r="V15">
        <f>T15-U15</f>
        <v>64264.957271187799</v>
      </c>
      <c r="Z15" t="s">
        <v>147</v>
      </c>
    </row>
    <row r="16" spans="1:30">
      <c r="A16" s="2" t="s">
        <v>64</v>
      </c>
      <c r="B16" s="3">
        <v>45717</v>
      </c>
      <c r="C16" s="2" t="s">
        <v>15</v>
      </c>
      <c r="D16" s="2" t="s">
        <v>16</v>
      </c>
      <c r="E16" s="2">
        <v>50825.08</v>
      </c>
      <c r="F16" s="2">
        <v>8949</v>
      </c>
      <c r="G16" s="2">
        <v>0.157</v>
      </c>
      <c r="H16" s="2">
        <v>21</v>
      </c>
      <c r="I16" s="2">
        <v>84.7</v>
      </c>
      <c r="J16" s="2">
        <v>7.73</v>
      </c>
      <c r="K16" s="2">
        <v>0</v>
      </c>
      <c r="L16" s="2">
        <v>4.9000000000000004</v>
      </c>
      <c r="M16" s="5">
        <f>IF(C16="North",1,0)</f>
        <v>0</v>
      </c>
      <c r="N16" s="5">
        <f>IF(C16="South",1,0)</f>
        <v>0</v>
      </c>
      <c r="O16" s="5">
        <f>IF(C16="East",1,0)</f>
        <v>1</v>
      </c>
      <c r="P16" s="5">
        <f>IF(D16="Mall",1,0)</f>
        <v>0</v>
      </c>
      <c r="Q16" s="5">
        <f>IF(D16="High Street",1,0)</f>
        <v>0</v>
      </c>
      <c r="R16" s="5">
        <f>IF(D16="Airport",1,0)</f>
        <v>0</v>
      </c>
      <c r="S16" s="2">
        <v>158697</v>
      </c>
      <c r="T16" s="2">
        <v>769702.76</v>
      </c>
      <c r="U16" s="12">
        <f>66915.46892
+(1.209928492*E16)
+(27.33619482*F16)
+(-41243.14883*G16)
+(3508.399163*H16)
+(3062.210286*I16)
+(-3438.10791*J16)
+(15157.28728*K16)
+(12509.46131*L16)
+(-15342.70531*M16)
+(-4201.853217*N16)
+(-25291.41891*O16)
+(32832.85351*P16)
+(20219.25907*Q16)
+(44695.0949*R16)</f>
        <v>709040.57540994941</v>
      </c>
      <c r="V16">
        <f>T16-U16</f>
        <v>60662.184590050601</v>
      </c>
    </row>
    <row r="17" spans="1:30">
      <c r="A17" s="2" t="s">
        <v>62</v>
      </c>
      <c r="B17" s="3">
        <v>45689</v>
      </c>
      <c r="C17" s="2" t="s">
        <v>24</v>
      </c>
      <c r="D17" s="2" t="s">
        <v>18</v>
      </c>
      <c r="E17" s="2">
        <v>48438.85</v>
      </c>
      <c r="F17" s="2">
        <v>6992</v>
      </c>
      <c r="G17" s="2">
        <v>3.4000000000000002E-2</v>
      </c>
      <c r="H17" s="2">
        <v>20</v>
      </c>
      <c r="I17" s="2">
        <v>91</v>
      </c>
      <c r="J17" s="2">
        <v>4.3600000000000003</v>
      </c>
      <c r="K17" s="2">
        <v>0</v>
      </c>
      <c r="L17" s="2">
        <v>4.2</v>
      </c>
      <c r="M17" s="5">
        <f>IF(C17="North",1,0)</f>
        <v>0</v>
      </c>
      <c r="N17" s="5">
        <f>IF(C17="South",1,0)</f>
        <v>1</v>
      </c>
      <c r="O17" s="5">
        <f>IF(C17="East",1,0)</f>
        <v>0</v>
      </c>
      <c r="P17" s="5">
        <f>IF(D17="Mall",1,0)</f>
        <v>0</v>
      </c>
      <c r="Q17" s="5">
        <f>IF(D17="High Street",1,0)</f>
        <v>1</v>
      </c>
      <c r="R17" s="5">
        <f>IF(D17="Airport",1,0)</f>
        <v>0</v>
      </c>
      <c r="S17" s="2">
        <v>130076.72</v>
      </c>
      <c r="T17" s="2">
        <v>778298.88</v>
      </c>
      <c r="U17" s="12">
        <f>66915.46892
+(1.209928492*E17)
+(27.33619482*F17)
+(-41243.14883*G17)
+(3508.399163*H17)
+(3062.210286*I17)
+(-3438.10791*J17)
+(15157.28728*K17)
+(12509.46131*L17)
+(-15342.70531*M17)
+(-4201.853217*N17)
+(-25291.41891*O17)
+(32832.85351*P17)
+(20219.25907*Q17)
+(44695.0949*R17)</f>
        <v>717651.53292933409</v>
      </c>
      <c r="V17">
        <f>T17-U17</f>
        <v>60647.347070665914</v>
      </c>
      <c r="Z17" s="18" t="s">
        <v>143</v>
      </c>
      <c r="AA17" s="18" t="s">
        <v>144</v>
      </c>
      <c r="AB17" s="18" t="s">
        <v>145</v>
      </c>
      <c r="AC17" s="18" t="s">
        <v>132</v>
      </c>
      <c r="AD17" s="18" t="s">
        <v>117</v>
      </c>
    </row>
    <row r="18" spans="1:30">
      <c r="A18" s="2" t="s">
        <v>61</v>
      </c>
      <c r="B18" s="3">
        <v>45748</v>
      </c>
      <c r="C18" s="2" t="s">
        <v>20</v>
      </c>
      <c r="D18" s="2" t="s">
        <v>28</v>
      </c>
      <c r="E18" s="2">
        <v>23254.57</v>
      </c>
      <c r="F18" s="2">
        <v>3847</v>
      </c>
      <c r="G18" s="2">
        <v>0.159</v>
      </c>
      <c r="H18" s="2">
        <v>12</v>
      </c>
      <c r="I18" s="2">
        <v>93</v>
      </c>
      <c r="J18" s="2">
        <v>5.46</v>
      </c>
      <c r="K18" s="2">
        <v>0</v>
      </c>
      <c r="L18" s="2">
        <v>3.3</v>
      </c>
      <c r="M18" s="5">
        <f>IF(C18="North",1,0)</f>
        <v>1</v>
      </c>
      <c r="N18" s="5">
        <f>IF(C18="South",1,0)</f>
        <v>0</v>
      </c>
      <c r="O18" s="5">
        <f>IF(C18="East",1,0)</f>
        <v>0</v>
      </c>
      <c r="P18" s="5">
        <f>IF(D18="Mall",1,0)</f>
        <v>1</v>
      </c>
      <c r="Q18" s="5">
        <f>IF(D18="High Street",1,0)</f>
        <v>0</v>
      </c>
      <c r="R18" s="5">
        <f>IF(D18="Airport",1,0)</f>
        <v>0</v>
      </c>
      <c r="S18" s="2">
        <v>72303.850000000006</v>
      </c>
      <c r="T18" s="2">
        <v>620973.03</v>
      </c>
      <c r="U18" s="12">
        <f>66915.46892
+(1.209928492*E18)
+(27.33619482*F18)
+(-41243.14883*G18)
+(3508.399163*H18)
+(3062.210286*I18)
+(-3438.10791*J18)
+(15157.28728*K18)
+(12509.46131*L18)
+(-15342.70531*M18)
+(-4201.853217*N18)
+(-25291.41891*O18)
+(32832.85351*P18)
+(20219.25907*Q18)
+(44695.0949*R18)</f>
        <v>560542.16442917846</v>
      </c>
      <c r="V18">
        <f>T18-U18</f>
        <v>60430.865570821567</v>
      </c>
      <c r="Z18" s="18">
        <v>1</v>
      </c>
      <c r="AA18" s="19" t="s">
        <v>79</v>
      </c>
      <c r="AB18" s="19">
        <v>870937.4</v>
      </c>
      <c r="AC18" s="20">
        <v>759919.93947637209</v>
      </c>
      <c r="AD18" s="18">
        <v>111017.46052362793</v>
      </c>
    </row>
    <row r="19" spans="1:30">
      <c r="A19" s="2" t="s">
        <v>40</v>
      </c>
      <c r="B19" s="3">
        <v>45717</v>
      </c>
      <c r="C19" s="2" t="s">
        <v>15</v>
      </c>
      <c r="D19" s="2" t="s">
        <v>16</v>
      </c>
      <c r="E19" s="2">
        <v>70144.78</v>
      </c>
      <c r="F19" s="2">
        <v>6806</v>
      </c>
      <c r="G19" s="2">
        <v>0.17799999999999999</v>
      </c>
      <c r="H19" s="2">
        <v>20</v>
      </c>
      <c r="I19" s="2">
        <v>93.1</v>
      </c>
      <c r="J19" s="2">
        <v>0.28000000000000003</v>
      </c>
      <c r="K19" s="2">
        <v>1</v>
      </c>
      <c r="L19" s="2">
        <v>4.3</v>
      </c>
      <c r="M19" s="5">
        <f>IF(C19="North",1,0)</f>
        <v>0</v>
      </c>
      <c r="N19" s="5">
        <f>IF(C19="South",1,0)</f>
        <v>0</v>
      </c>
      <c r="O19" s="5">
        <f>IF(C19="East",1,0)</f>
        <v>1</v>
      </c>
      <c r="P19" s="5">
        <f>IF(D19="Mall",1,0)</f>
        <v>0</v>
      </c>
      <c r="Q19" s="5">
        <f>IF(D19="High Street",1,0)</f>
        <v>0</v>
      </c>
      <c r="R19" s="5">
        <f>IF(D19="Airport",1,0)</f>
        <v>0</v>
      </c>
      <c r="S19" s="2">
        <v>116803.42</v>
      </c>
      <c r="T19" s="2">
        <v>788087.68</v>
      </c>
      <c r="U19" s="12">
        <f>66915.46892
+(1.209928492*E19)
+(27.33619482*F19)
+(-41243.14883*G19)
+(3508.399163*H19)
+(3062.210286*I19)
+(-3438.10791*J19)
+(15157.28728*K19)
+(12509.46131*L19)
+(-15342.70531*M19)
+(-4201.853217*N19)
+(-25291.41891*O19)
+(32832.85351*P19)
+(20219.25907*Q19)
+(44695.0949*R19)</f>
        <v>728448.14093505172</v>
      </c>
      <c r="V19">
        <f>T19-U19</f>
        <v>59639.539064948331</v>
      </c>
      <c r="Z19" s="18">
        <v>2</v>
      </c>
      <c r="AA19" s="19" t="s">
        <v>49</v>
      </c>
      <c r="AB19" s="19">
        <v>713611.16</v>
      </c>
      <c r="AC19" s="20">
        <v>610531.95156057086</v>
      </c>
      <c r="AD19" s="18">
        <v>103079.20843942917</v>
      </c>
    </row>
    <row r="20" spans="1:30">
      <c r="A20" s="2" t="s">
        <v>87</v>
      </c>
      <c r="B20" s="3">
        <v>45717</v>
      </c>
      <c r="C20" s="2" t="s">
        <v>27</v>
      </c>
      <c r="D20" s="2" t="s">
        <v>18</v>
      </c>
      <c r="E20" s="2">
        <v>51450.55</v>
      </c>
      <c r="F20" s="2">
        <v>4902</v>
      </c>
      <c r="G20" s="2">
        <v>8.5999999999999993E-2</v>
      </c>
      <c r="H20" s="2">
        <v>11</v>
      </c>
      <c r="I20" s="2">
        <v>83.7</v>
      </c>
      <c r="J20" s="2">
        <v>6.92</v>
      </c>
      <c r="K20" s="2">
        <v>1</v>
      </c>
      <c r="L20" s="2">
        <v>4.2</v>
      </c>
      <c r="M20" s="5">
        <f>IF(C20="North",1,0)</f>
        <v>0</v>
      </c>
      <c r="N20" s="5">
        <f>IF(C20="South",1,0)</f>
        <v>0</v>
      </c>
      <c r="O20" s="5">
        <f>IF(C20="East",1,0)</f>
        <v>0</v>
      </c>
      <c r="P20" s="5">
        <f>IF(D20="Mall",1,0)</f>
        <v>0</v>
      </c>
      <c r="Q20" s="5">
        <f>IF(D20="High Street",1,0)</f>
        <v>1</v>
      </c>
      <c r="R20" s="5">
        <f>IF(D20="Airport",1,0)</f>
        <v>0</v>
      </c>
      <c r="S20" s="2">
        <v>111610.89</v>
      </c>
      <c r="T20" s="2">
        <v>677640.65</v>
      </c>
      <c r="U20" s="12">
        <f>66915.46892
+(1.209928492*E20)
+(27.33619482*F20)
+(-41243.14883*G20)
+(3508.399163*H20)
+(3062.210286*I20)
+(-3438.10791*J20)
+(15157.28728*K20)
+(12509.46131*L20)
+(-15342.70531*M20)
+(-4201.853217*N20)
+(-25291.41891*O20)
+(32832.85351*P20)
+(20219.25907*Q20)
+(44695.0949*R20)</f>
        <v>618646.04034833063</v>
      </c>
      <c r="V20">
        <f>T20-U20</f>
        <v>58994.609651669394</v>
      </c>
      <c r="Z20" s="18">
        <v>3</v>
      </c>
      <c r="AA20" s="19" t="s">
        <v>94</v>
      </c>
      <c r="AB20" s="19">
        <v>813316.71</v>
      </c>
      <c r="AC20" s="20">
        <v>721415.92000339169</v>
      </c>
      <c r="AD20" s="18">
        <v>91900.789996608277</v>
      </c>
    </row>
    <row r="21" spans="1:30">
      <c r="A21" s="2" t="s">
        <v>17</v>
      </c>
      <c r="B21" s="3">
        <v>45748</v>
      </c>
      <c r="C21" s="2" t="s">
        <v>15</v>
      </c>
      <c r="D21" s="2" t="s">
        <v>18</v>
      </c>
      <c r="E21" s="2">
        <v>68148.52</v>
      </c>
      <c r="F21" s="2">
        <v>8567</v>
      </c>
      <c r="G21" s="2">
        <v>0.127</v>
      </c>
      <c r="H21" s="2">
        <v>23</v>
      </c>
      <c r="I21" s="2">
        <v>95.6</v>
      </c>
      <c r="J21" s="2">
        <v>0.8</v>
      </c>
      <c r="K21" s="2">
        <v>0</v>
      </c>
      <c r="L21" s="2">
        <v>3.9</v>
      </c>
      <c r="M21" s="5">
        <f>IF(C21="North",1,0)</f>
        <v>0</v>
      </c>
      <c r="N21" s="5">
        <f>IF(C21="South",1,0)</f>
        <v>0</v>
      </c>
      <c r="O21" s="5">
        <f>IF(C21="East",1,0)</f>
        <v>1</v>
      </c>
      <c r="P21" s="5">
        <f>IF(D21="Mall",1,0)</f>
        <v>0</v>
      </c>
      <c r="Q21" s="5">
        <f>IF(D21="High Street",1,0)</f>
        <v>1</v>
      </c>
      <c r="R21" s="5">
        <f>IF(D21="Airport",1,0)</f>
        <v>0</v>
      </c>
      <c r="S21" s="2">
        <v>149262.75</v>
      </c>
      <c r="T21" s="2">
        <v>850164.26</v>
      </c>
      <c r="U21" s="12">
        <f>66915.46892
+(1.209928492*E21)
+(27.33619482*F21)
+(-41243.14883*G21)
+(3508.399163*H21)
+(3062.210286*I21)
+(-3438.10791*J21)
+(15157.28728*K21)
+(12509.46131*L21)
+(-15342.70531*M21)
+(-4201.853217*N21)
+(-25291.41891*O21)
+(32832.85351*P21)
+(20219.25907*Q21)
+(44695.0949*R21)</f>
        <v>792726.34310876182</v>
      </c>
      <c r="V21">
        <f>T21-U21</f>
        <v>57437.916891238187</v>
      </c>
      <c r="Z21" s="18">
        <v>4</v>
      </c>
      <c r="AA21" s="19" t="s">
        <v>72</v>
      </c>
      <c r="AB21" s="19">
        <v>787715.51</v>
      </c>
      <c r="AC21" s="20">
        <v>701381.3366366293</v>
      </c>
      <c r="AD21" s="18">
        <v>86334.173363370704</v>
      </c>
    </row>
    <row r="22" spans="1:30">
      <c r="A22" s="2" t="s">
        <v>19</v>
      </c>
      <c r="B22" s="3">
        <v>45658</v>
      </c>
      <c r="C22" s="2" t="s">
        <v>20</v>
      </c>
      <c r="D22" s="2" t="s">
        <v>21</v>
      </c>
      <c r="E22" s="2">
        <v>71838.86</v>
      </c>
      <c r="F22" s="2">
        <v>10979</v>
      </c>
      <c r="G22" s="2">
        <v>0.215</v>
      </c>
      <c r="H22" s="2">
        <v>26</v>
      </c>
      <c r="I22" s="2">
        <v>88.6</v>
      </c>
      <c r="J22" s="2">
        <v>7.7</v>
      </c>
      <c r="K22" s="2">
        <v>1</v>
      </c>
      <c r="L22" s="2">
        <v>3.8</v>
      </c>
      <c r="M22" s="5">
        <f>IF(C22="North",1,0)</f>
        <v>1</v>
      </c>
      <c r="N22" s="5">
        <f>IF(C22="South",1,0)</f>
        <v>0</v>
      </c>
      <c r="O22" s="5">
        <f>IF(C22="East",1,0)</f>
        <v>0</v>
      </c>
      <c r="P22" s="5">
        <f>IF(D22="Mall",1,0)</f>
        <v>0</v>
      </c>
      <c r="Q22" s="5">
        <f>IF(D22="High Street",1,0)</f>
        <v>0</v>
      </c>
      <c r="R22" s="5">
        <f>IF(D22="Airport",1,0)</f>
        <v>1</v>
      </c>
      <c r="S22" s="2">
        <v>136207.98000000001</v>
      </c>
      <c r="T22" s="2">
        <v>930581.7</v>
      </c>
      <c r="U22" s="12">
        <f>66915.46892
+(1.209928492*E22)
+(27.33619482*F22)
+(-41243.14883*G22)
+(3508.399163*H22)
+(3062.210286*I22)
+(-3438.10791*J22)
+(15157.28728*K22)
+(12509.46131*L22)
+(-15342.70531*M22)
+(-4201.853217*N22)
+(-25291.41891*O22)
+(32832.85351*P22)
+(20219.25907*Q22)
+(44695.0949*R22)</f>
        <v>873194.5669157292</v>
      </c>
      <c r="V22">
        <f>T22-U22</f>
        <v>57387.133084270754</v>
      </c>
      <c r="Z22" s="18">
        <v>5</v>
      </c>
      <c r="AA22" s="19" t="s">
        <v>47</v>
      </c>
      <c r="AB22" s="19">
        <v>625514.04</v>
      </c>
      <c r="AC22" s="20">
        <v>540234.62131098681</v>
      </c>
      <c r="AD22" s="18">
        <v>85279.418689013226</v>
      </c>
    </row>
    <row r="23" spans="1:30">
      <c r="A23" s="2" t="s">
        <v>71</v>
      </c>
      <c r="B23" s="3">
        <v>45658</v>
      </c>
      <c r="C23" s="2" t="s">
        <v>20</v>
      </c>
      <c r="D23" s="2" t="s">
        <v>16</v>
      </c>
      <c r="E23" s="2">
        <v>71851.45</v>
      </c>
      <c r="F23" s="2">
        <v>4970</v>
      </c>
      <c r="G23" s="2">
        <v>9.8000000000000004E-2</v>
      </c>
      <c r="H23" s="2">
        <v>11</v>
      </c>
      <c r="I23" s="2">
        <v>89.6</v>
      </c>
      <c r="J23" s="2">
        <v>0.2</v>
      </c>
      <c r="K23" s="2">
        <v>0</v>
      </c>
      <c r="L23" s="2">
        <v>4.2</v>
      </c>
      <c r="M23" s="5">
        <f>IF(C23="North",1,0)</f>
        <v>1</v>
      </c>
      <c r="N23" s="5">
        <f>IF(C23="South",1,0)</f>
        <v>0</v>
      </c>
      <c r="O23" s="5">
        <f>IF(C23="East",1,0)</f>
        <v>0</v>
      </c>
      <c r="P23" s="5">
        <f>IF(D23="Mall",1,0)</f>
        <v>0</v>
      </c>
      <c r="Q23" s="5">
        <f>IF(D23="High Street",1,0)</f>
        <v>0</v>
      </c>
      <c r="R23" s="5">
        <f>IF(D23="Airport",1,0)</f>
        <v>0</v>
      </c>
      <c r="S23" s="2">
        <v>114077.69</v>
      </c>
      <c r="T23" s="2">
        <v>691447.43</v>
      </c>
      <c r="U23" s="12">
        <f>66915.46892
+(1.209928492*E23)
+(27.33619482*F23)
+(-41243.14883*G23)
+(3508.399163*H23)
+(3062.210286*I23)
+(-3438.10791*J23)
+(15157.28728*K23)
+(12509.46131*L23)
+(-15342.70531*M23)
+(-4201.853217*N23)
+(-25291.41891*O23)
+(32832.85351*P23)
+(20219.25907*Q23)
+(44695.0949*R23)</f>
        <v>635145.48816517333</v>
      </c>
      <c r="V23">
        <f>T23-U23</f>
        <v>56301.941834826721</v>
      </c>
    </row>
    <row r="24" spans="1:30">
      <c r="A24" s="2" t="s">
        <v>66</v>
      </c>
      <c r="B24" s="3">
        <v>45748</v>
      </c>
      <c r="C24" s="2" t="s">
        <v>27</v>
      </c>
      <c r="D24" s="2" t="s">
        <v>21</v>
      </c>
      <c r="E24" s="2">
        <v>74881.56</v>
      </c>
      <c r="F24" s="2">
        <v>9999</v>
      </c>
      <c r="G24" s="2">
        <v>1.2999999999999999E-2</v>
      </c>
      <c r="H24" s="2">
        <v>20</v>
      </c>
      <c r="I24" s="2">
        <v>89.6</v>
      </c>
      <c r="J24" s="2">
        <v>8.44</v>
      </c>
      <c r="K24" s="2">
        <v>0</v>
      </c>
      <c r="L24" s="2">
        <v>4.0999999999999996</v>
      </c>
      <c r="M24" s="5">
        <f>IF(C24="North",1,0)</f>
        <v>0</v>
      </c>
      <c r="N24" s="5">
        <f>IF(C24="South",1,0)</f>
        <v>0</v>
      </c>
      <c r="O24" s="5">
        <f>IF(C24="East",1,0)</f>
        <v>0</v>
      </c>
      <c r="P24" s="5">
        <f>IF(D24="Mall",1,0)</f>
        <v>0</v>
      </c>
      <c r="Q24" s="5">
        <f>IF(D24="High Street",1,0)</f>
        <v>0</v>
      </c>
      <c r="R24" s="5">
        <f>IF(D24="Airport",1,0)</f>
        <v>1</v>
      </c>
      <c r="S24" s="2">
        <v>138666.5</v>
      </c>
      <c r="T24" s="2">
        <v>898031.04</v>
      </c>
      <c r="U24" s="12">
        <f>66915.46892
+(1.209928492*E24)
+(27.33619482*F24)
+(-41243.14883*G24)
+(3508.399163*H24)
+(3062.210286*I24)
+(-3438.10791*J24)
+(15157.28728*K24)
+(12509.46131*L24)
+(-15342.70531*M24)
+(-4201.853217*N24)
+(-25291.41891*O24)
+(32832.85351*P24)
+(20219.25907*Q24)
+(44695.0949*R24)</f>
        <v>841823.53335599753</v>
      </c>
      <c r="V24">
        <f>T24-U24</f>
        <v>56207.506644002511</v>
      </c>
    </row>
    <row r="25" spans="1:30">
      <c r="A25" s="2" t="s">
        <v>41</v>
      </c>
      <c r="B25" s="3">
        <v>45717</v>
      </c>
      <c r="C25" s="2" t="s">
        <v>24</v>
      </c>
      <c r="D25" s="2" t="s">
        <v>18</v>
      </c>
      <c r="E25" s="2">
        <v>80562.81</v>
      </c>
      <c r="F25" s="2">
        <v>7470</v>
      </c>
      <c r="G25" s="2">
        <v>0.17199999999999999</v>
      </c>
      <c r="H25" s="2">
        <v>16</v>
      </c>
      <c r="I25" s="2">
        <v>83.5</v>
      </c>
      <c r="J25" s="2">
        <v>2.29</v>
      </c>
      <c r="K25" s="2">
        <v>0</v>
      </c>
      <c r="L25" s="2">
        <v>3.3</v>
      </c>
      <c r="M25" s="5">
        <f>IF(C25="North",1,0)</f>
        <v>0</v>
      </c>
      <c r="N25" s="5">
        <f>IF(C25="South",1,0)</f>
        <v>1</v>
      </c>
      <c r="O25" s="5">
        <f>IF(C25="East",1,0)</f>
        <v>0</v>
      </c>
      <c r="P25" s="5">
        <f>IF(D25="Mall",1,0)</f>
        <v>0</v>
      </c>
      <c r="Q25" s="5">
        <f>IF(D25="High Street",1,0)</f>
        <v>1</v>
      </c>
      <c r="R25" s="5">
        <f>IF(D25="Airport",1,0)</f>
        <v>0</v>
      </c>
      <c r="S25" s="2">
        <v>150701.93</v>
      </c>
      <c r="T25" s="2">
        <v>776922.17</v>
      </c>
      <c r="U25" s="12">
        <f>66915.46892
+(1.209928492*E25)
+(27.33619482*F25)
+(-41243.14883*G25)
+(3508.399163*H25)
+(3062.210286*I25)
+(-3438.10791*J25)
+(15157.28728*K25)
+(12509.46131*L25)
+(-15342.70531*M25)
+(-4201.853217*N25)
+(-25291.41891*O25)
+(32832.85351*P25)
+(20219.25907*Q25)
+(44695.0949*R25)</f>
        <v>722752.5683923224</v>
      </c>
      <c r="V25">
        <f>T25-U25</f>
        <v>54169.601607677643</v>
      </c>
    </row>
    <row r="26" spans="1:30">
      <c r="A26" s="2" t="s">
        <v>39</v>
      </c>
      <c r="B26" s="3">
        <v>45748</v>
      </c>
      <c r="C26" s="2" t="s">
        <v>15</v>
      </c>
      <c r="D26" s="2" t="s">
        <v>18</v>
      </c>
      <c r="E26" s="2">
        <v>55081.16</v>
      </c>
      <c r="F26" s="2">
        <v>5485</v>
      </c>
      <c r="G26" s="2">
        <v>3.5999999999999997E-2</v>
      </c>
      <c r="H26" s="2">
        <v>12</v>
      </c>
      <c r="I26" s="2">
        <v>88</v>
      </c>
      <c r="J26" s="2">
        <v>3.3650000000000002</v>
      </c>
      <c r="K26" s="2">
        <v>0</v>
      </c>
      <c r="L26" s="2">
        <v>3.5</v>
      </c>
      <c r="M26" s="5">
        <f>IF(C26="North",1,0)</f>
        <v>0</v>
      </c>
      <c r="N26" s="5">
        <f>IF(C26="South",1,0)</f>
        <v>0</v>
      </c>
      <c r="O26" s="5">
        <f>IF(C26="East",1,0)</f>
        <v>1</v>
      </c>
      <c r="P26" s="5">
        <f>IF(D26="Mall",1,0)</f>
        <v>0</v>
      </c>
      <c r="Q26" s="5">
        <f>IF(D26="High Street",1,0)</f>
        <v>1</v>
      </c>
      <c r="R26" s="5">
        <f>IF(D26="Airport",1,0)</f>
        <v>0</v>
      </c>
      <c r="S26" s="2">
        <v>141917.59</v>
      </c>
      <c r="T26" s="2">
        <v>674774.09</v>
      </c>
      <c r="U26" s="12">
        <f>66915.46892
+(1.209928492*E26)
+(27.33619482*F26)
+(-41243.14883*G26)
+(3508.399163*H26)
+(3062.210286*I26)
+(-3438.10791*J26)
+(15157.28728*K26)
+(12509.46131*L26)
+(-15342.70531*M26)
+(-4201.853217*N26)
+(-25291.41891*O26)
+(32832.85351*P26)
+(20219.25907*Q26)
+(44695.0949*R26)</f>
        <v>620731.02575808065</v>
      </c>
      <c r="V26">
        <f>T26-U26</f>
        <v>54043.064241919317</v>
      </c>
    </row>
    <row r="27" spans="1:30">
      <c r="A27" s="2" t="s">
        <v>56</v>
      </c>
      <c r="B27" s="3">
        <v>45689</v>
      </c>
      <c r="C27" s="2" t="s">
        <v>24</v>
      </c>
      <c r="D27" s="2" t="s">
        <v>16</v>
      </c>
      <c r="E27" s="2">
        <v>75109.67</v>
      </c>
      <c r="F27" s="2">
        <v>6244</v>
      </c>
      <c r="G27" s="2">
        <v>7.9000000000000001E-2</v>
      </c>
      <c r="H27" s="2">
        <v>15</v>
      </c>
      <c r="I27" s="2">
        <v>96.3</v>
      </c>
      <c r="J27" s="2">
        <v>7.38</v>
      </c>
      <c r="K27" s="2">
        <v>0</v>
      </c>
      <c r="L27" s="2">
        <v>3.7</v>
      </c>
      <c r="M27" s="5">
        <f>IF(C27="North",1,0)</f>
        <v>0</v>
      </c>
      <c r="N27" s="5">
        <f>IF(C27="South",1,0)</f>
        <v>1</v>
      </c>
      <c r="O27" s="5">
        <f>IF(C27="East",1,0)</f>
        <v>0</v>
      </c>
      <c r="P27" s="5">
        <f>IF(D27="Mall",1,0)</f>
        <v>0</v>
      </c>
      <c r="Q27" s="5">
        <f>IF(D27="High Street",1,0)</f>
        <v>0</v>
      </c>
      <c r="R27" s="5">
        <f>IF(D27="Airport",1,0)</f>
        <v>0</v>
      </c>
      <c r="S27" s="2">
        <v>104186.09</v>
      </c>
      <c r="T27" s="2">
        <v>743348.84</v>
      </c>
      <c r="U27" s="12">
        <f>66915.46892
+(1.209928492*E27)
+(27.33619482*F27)
+(-41243.14883*G27)
+(3508.399163*H27)
+(3062.210286*I27)
+(-3438.10791*J27)
+(15157.28728*K27)
+(12509.46131*L27)
+(-15342.70531*M27)
+(-4201.853217*N27)
+(-25291.41891*O27)
+(32832.85351*P27)
+(20219.25907*Q27)
+(44695.0949*R27)</f>
        <v>689448.54561722744</v>
      </c>
      <c r="V27">
        <f>T27-U27</f>
        <v>53900.294382772525</v>
      </c>
    </row>
    <row r="28" spans="1:30">
      <c r="A28" s="2" t="s">
        <v>69</v>
      </c>
      <c r="B28" s="3">
        <v>45658</v>
      </c>
      <c r="C28" s="2" t="s">
        <v>15</v>
      </c>
      <c r="D28" s="2" t="s">
        <v>18</v>
      </c>
      <c r="E28" s="2">
        <v>71641.899999999994</v>
      </c>
      <c r="F28" s="2">
        <v>3506</v>
      </c>
      <c r="G28" s="2">
        <v>0</v>
      </c>
      <c r="H28" s="2">
        <v>11</v>
      </c>
      <c r="I28" s="2">
        <v>86.4</v>
      </c>
      <c r="J28" s="2">
        <v>7.77</v>
      </c>
      <c r="K28" s="2">
        <v>0</v>
      </c>
      <c r="L28" s="2">
        <v>4.0999999999999996</v>
      </c>
      <c r="M28" s="5">
        <f>IF(C28="North",1,0)</f>
        <v>0</v>
      </c>
      <c r="N28" s="5">
        <f>IF(C28="South",1,0)</f>
        <v>0</v>
      </c>
      <c r="O28" s="5">
        <f>IF(C28="East",1,0)</f>
        <v>1</v>
      </c>
      <c r="P28" s="5">
        <f>IF(D28="Mall",1,0)</f>
        <v>0</v>
      </c>
      <c r="Q28" s="5">
        <f>IF(D28="High Street",1,0)</f>
        <v>1</v>
      </c>
      <c r="R28" s="5">
        <f>IF(D28="Airport",1,0)</f>
        <v>0</v>
      </c>
      <c r="S28" s="2">
        <v>98960.320000000007</v>
      </c>
      <c r="T28" s="2">
        <v>625993.82999999996</v>
      </c>
      <c r="U28" s="12">
        <f>66915.46892
+(1.209928492*E28)
+(27.33619482*F28)
+(-41243.14883*G28)
+(3508.399163*H28)
+(3062.210286*I28)
+(-3438.10791*J28)
+(15157.28728*K28)
+(12509.46131*L28)
+(-15342.70531*M28)
+(-4201.853217*N28)
+(-25291.41891*O28)
+(32832.85351*P28)
+(20219.25907*Q28)
+(44695.0949*R28)</f>
        <v>572107.63656363473</v>
      </c>
      <c r="V28">
        <f>T28-U28</f>
        <v>53886.193436365225</v>
      </c>
    </row>
    <row r="29" spans="1:30">
      <c r="A29" s="2" t="s">
        <v>61</v>
      </c>
      <c r="B29" s="3">
        <v>45717</v>
      </c>
      <c r="C29" s="2" t="s">
        <v>20</v>
      </c>
      <c r="D29" s="2" t="s">
        <v>28</v>
      </c>
      <c r="E29" s="2">
        <v>56918.16</v>
      </c>
      <c r="F29" s="2">
        <v>7015</v>
      </c>
      <c r="G29" s="2">
        <v>0.158</v>
      </c>
      <c r="H29" s="2">
        <v>18</v>
      </c>
      <c r="I29" s="2">
        <v>74.2</v>
      </c>
      <c r="J29" s="2">
        <v>0.2</v>
      </c>
      <c r="K29" s="2">
        <v>0</v>
      </c>
      <c r="L29" s="2">
        <v>3.4</v>
      </c>
      <c r="M29" s="5">
        <f>IF(C29="North",1,0)</f>
        <v>1</v>
      </c>
      <c r="N29" s="5">
        <f>IF(C29="South",1,0)</f>
        <v>0</v>
      </c>
      <c r="O29" s="5">
        <f>IF(C29="East",1,0)</f>
        <v>0</v>
      </c>
      <c r="P29" s="5">
        <f>IF(D29="Mall",1,0)</f>
        <v>1</v>
      </c>
      <c r="Q29" s="5">
        <f>IF(D29="High Street",1,0)</f>
        <v>0</v>
      </c>
      <c r="R29" s="5">
        <f>IF(D29="Airport",1,0)</f>
        <v>0</v>
      </c>
      <c r="S29" s="2">
        <v>100627.56</v>
      </c>
      <c r="T29" s="2">
        <v>724216.07</v>
      </c>
      <c r="U29" s="12">
        <f>66915.46892
+(1.209928492*E29)
+(27.33619482*F29)
+(-41243.14883*G29)
+(3508.399163*H29)
+(3062.210286*I29)
+(-3438.10791*J29)
+(15157.28728*K29)
+(12509.46131*L29)
+(-15342.70531*M29)
+(-4201.853217*N29)
+(-25291.41891*O29)
+(32832.85351*P29)
+(20219.25907*Q29)
+(44695.0949*R29)</f>
        <v>670731.24479057477</v>
      </c>
      <c r="V29">
        <f>T29-U29</f>
        <v>53484.82520942518</v>
      </c>
    </row>
    <row r="30" spans="1:30">
      <c r="A30" s="2" t="s">
        <v>53</v>
      </c>
      <c r="B30" s="3">
        <v>45658</v>
      </c>
      <c r="C30" s="2" t="s">
        <v>24</v>
      </c>
      <c r="D30" s="2" t="s">
        <v>18</v>
      </c>
      <c r="E30" s="2">
        <v>61541.21</v>
      </c>
      <c r="F30" s="2">
        <v>10396</v>
      </c>
      <c r="G30" s="2">
        <v>0.123</v>
      </c>
      <c r="H30" s="2">
        <v>25</v>
      </c>
      <c r="I30" s="2">
        <v>88.1</v>
      </c>
      <c r="J30" s="2">
        <v>2.34</v>
      </c>
      <c r="K30" s="2">
        <v>1</v>
      </c>
      <c r="L30" s="2">
        <v>4.8</v>
      </c>
      <c r="M30" s="5">
        <f>IF(C30="North",1,0)</f>
        <v>0</v>
      </c>
      <c r="N30" s="5">
        <f>IF(C30="South",1,0)</f>
        <v>1</v>
      </c>
      <c r="O30" s="5">
        <f>IF(C30="East",1,0)</f>
        <v>0</v>
      </c>
      <c r="P30" s="5">
        <f>IF(D30="Mall",1,0)</f>
        <v>0</v>
      </c>
      <c r="Q30" s="5">
        <f>IF(D30="High Street",1,0)</f>
        <v>1</v>
      </c>
      <c r="R30" s="5">
        <f>IF(D30="Airport",1,0)</f>
        <v>0</v>
      </c>
      <c r="S30" s="2">
        <v>79831.73</v>
      </c>
      <c r="T30" s="2">
        <v>914544.17</v>
      </c>
      <c r="U30" s="12">
        <f>66915.46892
+(1.209928492*E30)
+(27.33619482*F30)
+(-41243.14883*G30)
+(3508.399163*H30)
+(3062.210286*I30)
+(-3438.10791*J30)
+(15157.28728*K30)
+(12509.46131*L30)
+(-15342.70531*M30)
+(-4201.853217*N30)
+(-25291.41891*O30)
+(32832.85351*P30)
+(20219.25907*Q30)
+(44695.0949*R30)</f>
        <v>861155.74655698531</v>
      </c>
      <c r="V30">
        <f>T30-U30</f>
        <v>53388.423443014733</v>
      </c>
    </row>
    <row r="31" spans="1:30">
      <c r="A31" s="2" t="s">
        <v>45</v>
      </c>
      <c r="B31" s="3">
        <v>45717</v>
      </c>
      <c r="C31" s="2" t="s">
        <v>27</v>
      </c>
      <c r="D31" s="2" t="s">
        <v>16</v>
      </c>
      <c r="E31" s="2">
        <v>86421.88</v>
      </c>
      <c r="F31" s="2">
        <v>7970</v>
      </c>
      <c r="G31" s="2">
        <v>7.2999999999999995E-2</v>
      </c>
      <c r="H31" s="2">
        <v>17</v>
      </c>
      <c r="I31" s="2">
        <v>91.3</v>
      </c>
      <c r="J31" s="2">
        <v>0.8</v>
      </c>
      <c r="K31" s="2">
        <v>0</v>
      </c>
      <c r="L31" s="2">
        <v>5</v>
      </c>
      <c r="M31" s="5">
        <f>IF(C31="North",1,0)</f>
        <v>0</v>
      </c>
      <c r="N31" s="5">
        <f>IF(C31="South",1,0)</f>
        <v>0</v>
      </c>
      <c r="O31" s="5">
        <f>IF(C31="East",1,0)</f>
        <v>0</v>
      </c>
      <c r="P31" s="5">
        <f>IF(D31="Mall",1,0)</f>
        <v>0</v>
      </c>
      <c r="Q31" s="5">
        <f>IF(D31="High Street",1,0)</f>
        <v>0</v>
      </c>
      <c r="R31" s="5">
        <f>IF(D31="Airport",1,0)</f>
        <v>0</v>
      </c>
      <c r="S31" s="2">
        <v>122939.34</v>
      </c>
      <c r="T31" s="2">
        <v>838250.32</v>
      </c>
      <c r="U31" s="12">
        <f>66915.46892
+(1.209928492*E31)
+(27.33619482*F31)
+(-41243.14883*G31)
+(3508.399163*H31)
+(3062.210286*I31)
+(-3438.10791*J31)
+(15157.28728*K31)
+(12509.46131*L31)
+(-15342.70531*M31)
+(-4201.853217*N31)
+(-25291.41891*O31)
+(32832.85351*P31)
+(20219.25907*Q31)
+(44695.0949*R31)</f>
        <v>785357.89181981492</v>
      </c>
      <c r="V31">
        <f>T31-U31</f>
        <v>52892.42818018503</v>
      </c>
    </row>
    <row r="32" spans="1:30">
      <c r="A32" s="2" t="s">
        <v>66</v>
      </c>
      <c r="B32" s="3">
        <v>45689</v>
      </c>
      <c r="C32" s="2" t="s">
        <v>27</v>
      </c>
      <c r="D32" s="2" t="s">
        <v>21</v>
      </c>
      <c r="E32" s="2">
        <v>29389.32</v>
      </c>
      <c r="F32" s="2">
        <v>7925</v>
      </c>
      <c r="G32" s="2">
        <v>0.17699999999999999</v>
      </c>
      <c r="H32" s="2">
        <v>21</v>
      </c>
      <c r="I32" s="2">
        <v>90.9</v>
      </c>
      <c r="J32" s="2">
        <v>7.86</v>
      </c>
      <c r="K32" s="2">
        <v>0</v>
      </c>
      <c r="L32" s="2">
        <v>4</v>
      </c>
      <c r="M32" s="5">
        <f>IF(C32="North",1,0)</f>
        <v>0</v>
      </c>
      <c r="N32" s="5">
        <f>IF(C32="South",1,0)</f>
        <v>0</v>
      </c>
      <c r="O32" s="5">
        <f>IF(C32="East",1,0)</f>
        <v>0</v>
      </c>
      <c r="P32" s="5">
        <f>IF(D32="Mall",1,0)</f>
        <v>0</v>
      </c>
      <c r="Q32" s="5">
        <f>IF(D32="High Street",1,0)</f>
        <v>0</v>
      </c>
      <c r="R32" s="5">
        <f>IF(D32="Airport",1,0)</f>
        <v>1</v>
      </c>
      <c r="S32" s="2">
        <v>130670.93</v>
      </c>
      <c r="T32" s="2">
        <v>783582</v>
      </c>
      <c r="U32" s="12">
        <f>66915.46892
+(1.209928492*E32)
+(27.33619482*F32)
+(-41243.14883*G32)
+(3508.399163*H32)
+(3062.210286*I32)
+(-3438.10791*J32)
+(15157.28728*K32)
+(12509.46131*L32)
+(-15342.70531*M32)
+(-4201.853217*N32)
+(-25291.41891*O32)
+(32832.85351*P32)
+(20219.25907*Q32)
+(44695.0949*R32)</f>
        <v>731554.46054189559</v>
      </c>
      <c r="V32">
        <f>T32-U32</f>
        <v>52027.539458104409</v>
      </c>
    </row>
    <row r="33" spans="1:22">
      <c r="A33" s="2" t="s">
        <v>97</v>
      </c>
      <c r="B33" s="3">
        <v>45748</v>
      </c>
      <c r="C33" s="2" t="s">
        <v>20</v>
      </c>
      <c r="D33" s="2" t="s">
        <v>28</v>
      </c>
      <c r="E33" s="2">
        <v>31997.25</v>
      </c>
      <c r="F33" s="2">
        <v>8183</v>
      </c>
      <c r="G33" s="2">
        <v>0.19800000000000001</v>
      </c>
      <c r="H33" s="2">
        <v>18</v>
      </c>
      <c r="I33" s="2">
        <v>93</v>
      </c>
      <c r="J33" s="2">
        <v>2.79</v>
      </c>
      <c r="K33" s="2">
        <v>0</v>
      </c>
      <c r="L33" s="2">
        <v>4.2</v>
      </c>
      <c r="M33" s="5">
        <f>IF(C33="North",1,0)</f>
        <v>1</v>
      </c>
      <c r="N33" s="5">
        <f>IF(C33="South",1,0)</f>
        <v>0</v>
      </c>
      <c r="O33" s="5">
        <f>IF(C33="East",1,0)</f>
        <v>0</v>
      </c>
      <c r="P33" s="5">
        <f>IF(D33="Mall",1,0)</f>
        <v>1</v>
      </c>
      <c r="Q33" s="5">
        <f>IF(D33="High Street",1,0)</f>
        <v>0</v>
      </c>
      <c r="R33" s="5">
        <f>IF(D33="Airport",1,0)</f>
        <v>0</v>
      </c>
      <c r="S33" s="2">
        <v>138144.46</v>
      </c>
      <c r="T33" s="2">
        <v>780580.95</v>
      </c>
      <c r="U33" s="12">
        <f>66915.46892
+(1.209928492*E33)
+(27.33619482*F33)
+(-41243.14883*G33)
+(3508.399163*H33)
+(3062.210286*I33)
+(-3438.10791*J33)
+(15157.28728*K33)
+(12509.46131*L33)
+(-15342.70531*M33)
+(-4201.853217*N33)
+(-25291.41891*O33)
+(32832.85351*P33)
+(20219.25907*Q33)
+(44695.0949*R33)</f>
        <v>729530.09826946689</v>
      </c>
      <c r="V33">
        <f>T33-U33</f>
        <v>51050.851730533061</v>
      </c>
    </row>
    <row r="34" spans="1:22">
      <c r="A34" s="2" t="s">
        <v>41</v>
      </c>
      <c r="B34" s="3">
        <v>45689</v>
      </c>
      <c r="C34" s="2" t="s">
        <v>24</v>
      </c>
      <c r="D34" s="2" t="s">
        <v>18</v>
      </c>
      <c r="E34" s="2">
        <v>54872.82</v>
      </c>
      <c r="F34" s="2">
        <v>5962</v>
      </c>
      <c r="G34" s="2">
        <v>6.4000000000000001E-2</v>
      </c>
      <c r="H34" s="2">
        <v>12</v>
      </c>
      <c r="I34" s="2">
        <v>85.4</v>
      </c>
      <c r="J34" s="2">
        <v>2.58</v>
      </c>
      <c r="K34" s="2">
        <v>0</v>
      </c>
      <c r="L34" s="2">
        <v>2.9</v>
      </c>
      <c r="M34" s="5">
        <f>IF(C34="North",1,0)</f>
        <v>0</v>
      </c>
      <c r="N34" s="5">
        <f>IF(C34="South",1,0)</f>
        <v>1</v>
      </c>
      <c r="O34" s="5">
        <f>IF(C34="East",1,0)</f>
        <v>0</v>
      </c>
      <c r="P34" s="5">
        <f>IF(D34="Mall",1,0)</f>
        <v>0</v>
      </c>
      <c r="Q34" s="5">
        <f>IF(D34="High Street",1,0)</f>
        <v>1</v>
      </c>
      <c r="R34" s="5">
        <f>IF(D34="Airport",1,0)</f>
        <v>0</v>
      </c>
      <c r="S34" s="2">
        <v>109212.83</v>
      </c>
      <c r="T34" s="2">
        <v>691112.6</v>
      </c>
      <c r="U34" s="12">
        <f>66915.46892
+(1.209928492*E34)
+(27.33619482*F34)
+(-41243.14883*G34)
+(3508.399163*H34)
+(3062.210286*I34)
+(-3438.10791*J34)
+(15157.28728*K34)
+(12509.46131*L34)
+(-15342.70531*M34)
+(-4201.853217*N34)
+(-25291.41891*O34)
+(32832.85351*P34)
+(20219.25907*Q34)
+(44695.0949*R34)</f>
        <v>640684.56289070728</v>
      </c>
      <c r="V34">
        <f>T34-U34</f>
        <v>50428.037109292694</v>
      </c>
    </row>
    <row r="35" spans="1:22">
      <c r="A35" s="2" t="s">
        <v>65</v>
      </c>
      <c r="B35" s="3">
        <v>45658</v>
      </c>
      <c r="C35" s="2" t="s">
        <v>15</v>
      </c>
      <c r="D35" s="2" t="s">
        <v>16</v>
      </c>
      <c r="E35" s="2">
        <v>65237.79</v>
      </c>
      <c r="F35" s="2">
        <v>8741</v>
      </c>
      <c r="G35" s="2">
        <v>0.157</v>
      </c>
      <c r="H35" s="2">
        <v>20</v>
      </c>
      <c r="I35" s="2">
        <v>94.4</v>
      </c>
      <c r="J35" s="2">
        <v>6.43</v>
      </c>
      <c r="K35" s="2">
        <v>0</v>
      </c>
      <c r="L35" s="2">
        <v>3.3</v>
      </c>
      <c r="M35" s="5">
        <f>IF(C35="North",1,0)</f>
        <v>0</v>
      </c>
      <c r="N35" s="5">
        <f>IF(C35="South",1,0)</f>
        <v>0</v>
      </c>
      <c r="O35" s="5">
        <f>IF(C35="East",1,0)</f>
        <v>1</v>
      </c>
      <c r="P35" s="5">
        <f>IF(D35="Mall",1,0)</f>
        <v>0</v>
      </c>
      <c r="Q35" s="5">
        <f>IF(D35="High Street",1,0)</f>
        <v>0</v>
      </c>
      <c r="R35" s="5">
        <f>IF(D35="Airport",1,0)</f>
        <v>0</v>
      </c>
      <c r="S35" s="2">
        <v>118239.09</v>
      </c>
      <c r="T35" s="2">
        <v>780344.18</v>
      </c>
      <c r="U35" s="12">
        <f>66915.46892
+(1.209928492*E35)
+(27.33619482*F35)
+(-41243.14883*G35)
+(3508.399163*H35)
+(3062.210286*I35)
+(-3438.10791*J35)
+(15157.28728*K35)
+(12509.46131*L35)
+(-15342.70531*M35)
+(-4201.853217*N35)
+(-25291.41891*O35)
+(32832.85351*P35)
+(20219.25907*Q35)
+(44695.0949*R35)</f>
        <v>731442.43816152262</v>
      </c>
      <c r="V35">
        <f>T35-U35</f>
        <v>48901.741838477436</v>
      </c>
    </row>
    <row r="36" spans="1:22">
      <c r="A36" s="2" t="s">
        <v>42</v>
      </c>
      <c r="B36" s="3">
        <v>45717</v>
      </c>
      <c r="C36" s="2" t="s">
        <v>27</v>
      </c>
      <c r="D36" s="2" t="s">
        <v>28</v>
      </c>
      <c r="E36" s="2">
        <v>72731.14</v>
      </c>
      <c r="F36" s="2">
        <v>4644</v>
      </c>
      <c r="G36" s="2">
        <v>8.4000000000000005E-2</v>
      </c>
      <c r="H36" s="2">
        <v>15</v>
      </c>
      <c r="I36" s="2">
        <v>87.1</v>
      </c>
      <c r="J36" s="2">
        <v>2.66</v>
      </c>
      <c r="K36" s="2">
        <v>0</v>
      </c>
      <c r="L36" s="2">
        <v>4.5999999999999996</v>
      </c>
      <c r="M36" s="5">
        <f>IF(C36="North",1,0)</f>
        <v>0</v>
      </c>
      <c r="N36" s="5">
        <f>IF(C36="South",1,0)</f>
        <v>0</v>
      </c>
      <c r="O36" s="5">
        <f>IF(C36="East",1,0)</f>
        <v>0</v>
      </c>
      <c r="P36" s="5">
        <f>IF(D36="Mall",1,0)</f>
        <v>1</v>
      </c>
      <c r="Q36" s="5">
        <f>IF(D36="High Street",1,0)</f>
        <v>0</v>
      </c>
      <c r="R36" s="5">
        <f>IF(D36="Airport",1,0)</f>
        <v>0</v>
      </c>
      <c r="S36" s="2">
        <v>155810.29999999999</v>
      </c>
      <c r="T36" s="2">
        <v>727241.86</v>
      </c>
      <c r="U36" s="12">
        <f>66915.46892
+(1.209928492*E36)
+(27.33619482*F36)
+(-41243.14883*G36)
+(3508.399163*H36)
+(3062.210286*I36)
+(-3438.10791*J36)
+(15157.28728*K36)
+(12509.46131*L36)
+(-15342.70531*M36)
+(-4201.853217*N36)
+(-25291.41891*O36)
+(32832.85351*P36)
+(20219.25907*Q36)
+(44695.0949*R36)</f>
        <v>678975.32355500082</v>
      </c>
      <c r="V36">
        <f>T36-U36</f>
        <v>48266.536444999161</v>
      </c>
    </row>
    <row r="37" spans="1:22">
      <c r="A37" s="2" t="s">
        <v>100</v>
      </c>
      <c r="B37" s="3">
        <v>45748</v>
      </c>
      <c r="C37" s="2" t="s">
        <v>20</v>
      </c>
      <c r="D37" s="2" t="s">
        <v>16</v>
      </c>
      <c r="E37" s="2">
        <v>66456.28</v>
      </c>
      <c r="F37" s="2">
        <v>9967</v>
      </c>
      <c r="G37" s="2">
        <v>0.108</v>
      </c>
      <c r="H37" s="2">
        <v>20</v>
      </c>
      <c r="I37" s="2">
        <v>94.7</v>
      </c>
      <c r="J37" s="2">
        <v>4.4800000000000004</v>
      </c>
      <c r="K37" s="2">
        <v>0</v>
      </c>
      <c r="L37" s="2">
        <v>4.2</v>
      </c>
      <c r="M37" s="5">
        <f>IF(C37="North",1,0)</f>
        <v>1</v>
      </c>
      <c r="N37" s="5">
        <f>IF(C37="South",1,0)</f>
        <v>0</v>
      </c>
      <c r="O37" s="5">
        <f>IF(C37="East",1,0)</f>
        <v>0</v>
      </c>
      <c r="P37" s="5">
        <f>IF(D37="Mall",1,0)</f>
        <v>0</v>
      </c>
      <c r="Q37" s="5">
        <f>IF(D37="High Street",1,0)</f>
        <v>0</v>
      </c>
      <c r="R37" s="5">
        <f>IF(D37="Airport",1,0)</f>
        <v>0</v>
      </c>
      <c r="S37" s="2">
        <v>137140.18</v>
      </c>
      <c r="T37" s="2">
        <v>844710.67</v>
      </c>
      <c r="U37" s="12">
        <f>66915.46892
+(1.209928492*E37)
+(27.33619482*F37)
+(-41243.14883*G37)
+(3508.399163*H37)
+(3062.210286*I37)
+(-3438.10791*J37)
+(15157.28728*K37)
+(12509.46131*L37)
+(-15342.70531*M37)
+(-4201.853217*N37)
+(-25291.41891*O37)
+(32832.85351*P37)
+(20219.25907*Q37)
+(44695.0949*R37)</f>
        <v>797282.01536102977</v>
      </c>
      <c r="V37">
        <f>T37-U37</f>
        <v>47428.654638970271</v>
      </c>
    </row>
    <row r="38" spans="1:22">
      <c r="A38" s="2" t="s">
        <v>73</v>
      </c>
      <c r="B38" s="3">
        <v>45689</v>
      </c>
      <c r="C38" s="2" t="s">
        <v>15</v>
      </c>
      <c r="D38" s="2" t="s">
        <v>28</v>
      </c>
      <c r="E38" s="2">
        <v>54300.87</v>
      </c>
      <c r="F38" s="2">
        <v>7875</v>
      </c>
      <c r="G38" s="2">
        <v>0.107</v>
      </c>
      <c r="H38" s="2">
        <v>19</v>
      </c>
      <c r="I38" s="2">
        <v>94.1</v>
      </c>
      <c r="J38" s="2">
        <v>0.95</v>
      </c>
      <c r="K38" s="2">
        <v>0</v>
      </c>
      <c r="L38" s="2">
        <v>3.7</v>
      </c>
      <c r="M38" s="5">
        <f>IF(C38="North",1,0)</f>
        <v>0</v>
      </c>
      <c r="N38" s="5">
        <f>IF(C38="South",1,0)</f>
        <v>0</v>
      </c>
      <c r="O38" s="5">
        <f>IF(C38="East",1,0)</f>
        <v>1</v>
      </c>
      <c r="P38" s="5">
        <f>IF(D38="Mall",1,0)</f>
        <v>1</v>
      </c>
      <c r="Q38" s="5">
        <f>IF(D38="High Street",1,0)</f>
        <v>0</v>
      </c>
      <c r="R38" s="5">
        <f>IF(D38="Airport",1,0)</f>
        <v>0</v>
      </c>
      <c r="S38" s="2">
        <v>161150.51999999999</v>
      </c>
      <c r="T38" s="2">
        <v>795464.47</v>
      </c>
      <c r="U38" s="12">
        <f>66915.46892
+(1.209928492*E38)
+(27.33619482*F38)
+(-41243.14883*G38)
+(3508.399163*H38)
+(3062.210286*I38)
+(-3438.10791*J38)
+(15157.28728*K38)
+(12509.46131*L38)
+(-15342.70531*M38)
+(-4201.853217*N38)
+(-25291.41891*O38)
+(32832.85351*P38)
+(20219.25907*Q38)
+(44695.0949*R38)</f>
        <v>748848.9668981781</v>
      </c>
      <c r="V38">
        <f>T38-U38</f>
        <v>46615.503101821872</v>
      </c>
    </row>
    <row r="39" spans="1:22">
      <c r="A39" s="2" t="s">
        <v>56</v>
      </c>
      <c r="B39" s="3">
        <v>45717</v>
      </c>
      <c r="C39" s="2" t="s">
        <v>24</v>
      </c>
      <c r="D39" s="2" t="s">
        <v>16</v>
      </c>
      <c r="E39" s="2">
        <v>69779</v>
      </c>
      <c r="F39" s="2">
        <v>6544</v>
      </c>
      <c r="G39" s="2">
        <v>0.152</v>
      </c>
      <c r="H39" s="2">
        <v>18</v>
      </c>
      <c r="I39" s="2">
        <v>90.2</v>
      </c>
      <c r="J39" s="2">
        <v>0.85</v>
      </c>
      <c r="K39" s="2">
        <v>1</v>
      </c>
      <c r="L39" s="2">
        <v>3.3</v>
      </c>
      <c r="M39" s="5">
        <f>IF(C39="North",1,0)</f>
        <v>0</v>
      </c>
      <c r="N39" s="5">
        <f>IF(C39="South",1,0)</f>
        <v>1</v>
      </c>
      <c r="O39" s="5">
        <f>IF(C39="East",1,0)</f>
        <v>0</v>
      </c>
      <c r="P39" s="5">
        <f>IF(D39="Mall",1,0)</f>
        <v>0</v>
      </c>
      <c r="Q39" s="5">
        <f>IF(D39="High Street",1,0)</f>
        <v>0</v>
      </c>
      <c r="R39" s="5">
        <f>IF(D39="Airport",1,0)</f>
        <v>0</v>
      </c>
      <c r="S39" s="2">
        <v>161439.48000000001</v>
      </c>
      <c r="T39" s="2">
        <v>758827.64</v>
      </c>
      <c r="U39" s="12">
        <f>66915.46892
+(1.209928492*E39)
+(27.33619482*F39)
+(-41243.14883*G39)
+(3508.399163*H39)
+(3062.210286*I39)
+(-3438.10791*J39)
+(15157.28728*K39)
+(12509.46131*L39)
+(-15342.70531*M39)
+(-4201.853217*N39)
+(-25291.41891*O39)
+(32832.85351*P39)
+(20219.25907*Q39)
+(44695.0949*R39)</f>
        <v>712638.98683688801</v>
      </c>
      <c r="V39">
        <f>T39-U39</f>
        <v>46188.653163112001</v>
      </c>
    </row>
    <row r="40" spans="1:22">
      <c r="A40" s="2" t="s">
        <v>63</v>
      </c>
      <c r="B40" s="3">
        <v>45658</v>
      </c>
      <c r="C40" s="2" t="s">
        <v>20</v>
      </c>
      <c r="D40" s="2" t="s">
        <v>28</v>
      </c>
      <c r="E40" s="2">
        <v>72150.53</v>
      </c>
      <c r="F40" s="2">
        <v>9323</v>
      </c>
      <c r="G40" s="2">
        <v>0.157</v>
      </c>
      <c r="H40" s="2">
        <v>22</v>
      </c>
      <c r="I40" s="2">
        <v>82.9</v>
      </c>
      <c r="J40" s="2">
        <v>11.37</v>
      </c>
      <c r="K40" s="2">
        <v>1</v>
      </c>
      <c r="L40" s="2">
        <v>4.3</v>
      </c>
      <c r="M40" s="5">
        <f>IF(C40="North",1,0)</f>
        <v>1</v>
      </c>
      <c r="N40" s="5">
        <f>IF(C40="South",1,0)</f>
        <v>0</v>
      </c>
      <c r="O40" s="5">
        <f>IF(C40="East",1,0)</f>
        <v>0</v>
      </c>
      <c r="P40" s="5">
        <f>IF(D40="Mall",1,0)</f>
        <v>1</v>
      </c>
      <c r="Q40" s="5">
        <f>IF(D40="High Street",1,0)</f>
        <v>0</v>
      </c>
      <c r="R40" s="5">
        <f>IF(D40="Airport",1,0)</f>
        <v>0</v>
      </c>
      <c r="S40" s="2">
        <v>130945.24</v>
      </c>
      <c r="T40" s="2">
        <v>825797.91</v>
      </c>
      <c r="U40" s="12">
        <f>66915.46892
+(1.209928492*E40)
+(27.33619482*F40)
+(-41243.14883*G40)
+(3508.399163*H40)
+(3062.210286*I40)
+(-3438.10791*J40)
+(15157.28728*K40)
+(12509.46131*L40)
+(-15342.70531*M40)
+(-4201.853217*N40)
+(-25291.41891*O40)
+(32832.85351*P40)
+(20219.25907*Q40)
+(44695.0949*R40)</f>
        <v>780981.46729215083</v>
      </c>
      <c r="V40">
        <f>T40-U40</f>
        <v>44816.442707849201</v>
      </c>
    </row>
    <row r="41" spans="1:22">
      <c r="A41" s="2" t="s">
        <v>98</v>
      </c>
      <c r="B41" s="3">
        <v>45658</v>
      </c>
      <c r="C41" s="2" t="s">
        <v>24</v>
      </c>
      <c r="D41" s="2" t="s">
        <v>16</v>
      </c>
      <c r="E41" s="2">
        <v>54948.02</v>
      </c>
      <c r="F41" s="2">
        <v>6534</v>
      </c>
      <c r="G41" s="2">
        <v>0.183</v>
      </c>
      <c r="H41" s="2">
        <v>14</v>
      </c>
      <c r="I41" s="2">
        <v>94.5</v>
      </c>
      <c r="J41" s="2">
        <v>1.56</v>
      </c>
      <c r="K41" s="2">
        <v>0</v>
      </c>
      <c r="L41" s="2">
        <v>4</v>
      </c>
      <c r="M41" s="5">
        <f>IF(C41="North",1,0)</f>
        <v>0</v>
      </c>
      <c r="N41" s="5">
        <f>IF(C41="South",1,0)</f>
        <v>1</v>
      </c>
      <c r="O41" s="5">
        <f>IF(C41="East",1,0)</f>
        <v>0</v>
      </c>
      <c r="P41" s="5">
        <f>IF(D41="Mall",1,0)</f>
        <v>0</v>
      </c>
      <c r="Q41" s="5">
        <f>IF(D41="High Street",1,0)</f>
        <v>0</v>
      </c>
      <c r="R41" s="5">
        <f>IF(D41="Airport",1,0)</f>
        <v>0</v>
      </c>
      <c r="S41" s="2">
        <v>74805.23</v>
      </c>
      <c r="T41" s="2">
        <v>727957.48</v>
      </c>
      <c r="U41" s="12">
        <f>66915.46892
+(1.209928492*E41)
+(27.33619482*F41)
+(-41243.14883*G41)
+(3508.399163*H41)
+(3062.210286*I41)
+(-3438.10791*J41)
+(15157.28728*K41)
+(12509.46131*L41)
+(-15342.70531*M41)
+(-4201.853217*N41)
+(-25291.41891*O41)
+(32832.85351*P41)
+(20219.25907*Q41)
+(44695.0949*R41)</f>
        <v>683434.84860737587</v>
      </c>
      <c r="V41">
        <f>T41-U41</f>
        <v>44522.631392624113</v>
      </c>
    </row>
    <row r="42" spans="1:22">
      <c r="A42" s="2" t="s">
        <v>86</v>
      </c>
      <c r="B42" s="3">
        <v>45658</v>
      </c>
      <c r="C42" s="2" t="s">
        <v>24</v>
      </c>
      <c r="D42" s="2" t="s">
        <v>28</v>
      </c>
      <c r="E42" s="2">
        <v>65272.58</v>
      </c>
      <c r="F42" s="2">
        <v>8165</v>
      </c>
      <c r="G42" s="2">
        <v>5.0999999999999997E-2</v>
      </c>
      <c r="H42" s="2">
        <v>19</v>
      </c>
      <c r="I42" s="2">
        <v>87.8</v>
      </c>
      <c r="J42" s="2">
        <v>1.26</v>
      </c>
      <c r="K42" s="2">
        <v>1</v>
      </c>
      <c r="L42" s="2">
        <v>4.3</v>
      </c>
      <c r="M42" s="5">
        <f>IF(C42="North",1,0)</f>
        <v>0</v>
      </c>
      <c r="N42" s="5">
        <f>IF(C42="South",1,0)</f>
        <v>1</v>
      </c>
      <c r="O42" s="5">
        <f>IF(C42="East",1,0)</f>
        <v>0</v>
      </c>
      <c r="P42" s="5">
        <f>IF(D42="Mall",1,0)</f>
        <v>1</v>
      </c>
      <c r="Q42" s="5">
        <f>IF(D42="High Street",1,0)</f>
        <v>0</v>
      </c>
      <c r="R42" s="5">
        <f>IF(D42="Airport",1,0)</f>
        <v>0</v>
      </c>
      <c r="S42" s="2">
        <v>126587.01</v>
      </c>
      <c r="T42" s="2">
        <v>840108.12</v>
      </c>
      <c r="U42" s="12">
        <f>66915.46892
+(1.209928492*E42)
+(27.33619482*F42)
+(-41243.14883*G42)
+(3508.399163*H42)
+(3062.210286*I42)
+(-3438.10791*J42)
+(15157.28728*K42)
+(12509.46131*L42)
+(-15342.70531*M42)
+(-4201.853217*N42)
+(-25291.41891*O42)
+(32832.85351*P42)
+(20219.25907*Q42)
+(44695.0949*R42)</f>
        <v>795755.85577051935</v>
      </c>
      <c r="V42">
        <f>T42-U42</f>
        <v>44352.264229480643</v>
      </c>
    </row>
    <row r="43" spans="1:22">
      <c r="A43" s="2" t="s">
        <v>31</v>
      </c>
      <c r="B43" s="3">
        <v>45658</v>
      </c>
      <c r="C43" s="2" t="s">
        <v>20</v>
      </c>
      <c r="D43" s="2" t="s">
        <v>28</v>
      </c>
      <c r="E43" s="2">
        <v>75269.87</v>
      </c>
      <c r="F43" s="2">
        <v>8838</v>
      </c>
      <c r="G43" s="2">
        <v>9.1999999999999998E-2</v>
      </c>
      <c r="H43" s="2">
        <v>21</v>
      </c>
      <c r="I43" s="2">
        <v>83.1</v>
      </c>
      <c r="J43" s="2">
        <v>9.56</v>
      </c>
      <c r="K43" s="2">
        <v>1</v>
      </c>
      <c r="L43" s="2">
        <v>4.2</v>
      </c>
      <c r="M43" s="5">
        <f>IF(C43="North",1,0)</f>
        <v>1</v>
      </c>
      <c r="N43" s="5">
        <f>IF(C43="South",1,0)</f>
        <v>0</v>
      </c>
      <c r="O43" s="5">
        <f>IF(C43="East",1,0)</f>
        <v>0</v>
      </c>
      <c r="P43" s="5">
        <f>IF(D43="Mall",1,0)</f>
        <v>1</v>
      </c>
      <c r="Q43" s="5">
        <f>IF(D43="High Street",1,0)</f>
        <v>0</v>
      </c>
      <c r="R43" s="5">
        <f>IF(D43="Airport",1,0)</f>
        <v>0</v>
      </c>
      <c r="S43" s="2">
        <v>115860.06</v>
      </c>
      <c r="T43" s="2">
        <v>820593.93</v>
      </c>
      <c r="U43" s="12">
        <f>66915.46892
+(1.209928492*E43)
+(27.33619482*F43)
+(-41243.14883*G43)
+(3508.399163*H43)
+(3062.210286*I43)
+(-3438.10791*J43)
+(15157.28728*K43)
+(12509.46131*L43)
+(-15342.70531*M43)
+(-4201.853217*N43)
+(-25291.41891*O43)
+(32832.85351*P43)
+(20219.25907*Q43)
+(44695.0949*R43)</f>
        <v>776254.46790093614</v>
      </c>
      <c r="V43">
        <f>T43-U43</f>
        <v>44339.462099063909</v>
      </c>
    </row>
    <row r="44" spans="1:22">
      <c r="A44" s="2" t="s">
        <v>94</v>
      </c>
      <c r="B44" s="3">
        <v>45658</v>
      </c>
      <c r="C44" s="2" t="s">
        <v>15</v>
      </c>
      <c r="D44" s="2" t="s">
        <v>16</v>
      </c>
      <c r="E44" s="2">
        <v>70012.41</v>
      </c>
      <c r="F44" s="2">
        <v>8484</v>
      </c>
      <c r="G44" s="2">
        <v>0.27300000000000002</v>
      </c>
      <c r="H44" s="2">
        <v>23</v>
      </c>
      <c r="I44" s="2">
        <v>72.900000000000006</v>
      </c>
      <c r="J44" s="2">
        <v>3.34</v>
      </c>
      <c r="K44" s="2">
        <v>0</v>
      </c>
      <c r="L44" s="2">
        <v>3.7</v>
      </c>
      <c r="M44" s="5">
        <f>IF(C44="North",1,0)</f>
        <v>0</v>
      </c>
      <c r="N44" s="5">
        <f>IF(C44="South",1,0)</f>
        <v>0</v>
      </c>
      <c r="O44" s="5">
        <f>IF(C44="East",1,0)</f>
        <v>1</v>
      </c>
      <c r="P44" s="5">
        <f>IF(D44="Mall",1,0)</f>
        <v>0</v>
      </c>
      <c r="Q44" s="5">
        <f>IF(D44="High Street",1,0)</f>
        <v>0</v>
      </c>
      <c r="R44" s="5">
        <f>IF(D44="Airport",1,0)</f>
        <v>0</v>
      </c>
      <c r="S44" s="2">
        <v>75592.28</v>
      </c>
      <c r="T44" s="2">
        <v>729424.42</v>
      </c>
      <c r="U44" s="12">
        <f>66915.46892
+(1.209928492*E44)
+(27.33619482*F44)
+(-41243.14883*G44)
+(3508.399163*H44)
+(3062.210286*I44)
+(-3438.10791*J44)
+(15157.28728*K44)
+(12509.46131*L44)
+(-15342.70531*M44)
+(-4201.853217*N44)
+(-25291.41891*O44)
+(32832.85351*P44)
+(20219.25907*Q44)
+(44695.0949*R44)</f>
        <v>685724.99391087587</v>
      </c>
      <c r="V44">
        <f>T44-U44</f>
        <v>43699.426089124172</v>
      </c>
    </row>
    <row r="45" spans="1:22">
      <c r="A45" s="2" t="s">
        <v>19</v>
      </c>
      <c r="B45" s="3">
        <v>45748</v>
      </c>
      <c r="C45" s="2" t="s">
        <v>20</v>
      </c>
      <c r="D45" s="2" t="s">
        <v>21</v>
      </c>
      <c r="E45" s="2">
        <v>67979.88</v>
      </c>
      <c r="F45" s="2">
        <v>11230</v>
      </c>
      <c r="G45" s="2">
        <v>2E-3</v>
      </c>
      <c r="H45" s="2">
        <v>28</v>
      </c>
      <c r="I45" s="2">
        <v>85.3</v>
      </c>
      <c r="J45" s="2">
        <v>7.16</v>
      </c>
      <c r="K45" s="2">
        <v>0</v>
      </c>
      <c r="L45" s="2">
        <v>3.8</v>
      </c>
      <c r="M45" s="5">
        <f>IF(C45="North",1,0)</f>
        <v>1</v>
      </c>
      <c r="N45" s="5">
        <f>IF(C45="South",1,0)</f>
        <v>0</v>
      </c>
      <c r="O45" s="5">
        <f>IF(C45="East",1,0)</f>
        <v>0</v>
      </c>
      <c r="P45" s="5">
        <f>IF(D45="Mall",1,0)</f>
        <v>0</v>
      </c>
      <c r="Q45" s="5">
        <f>IF(D45="High Street",1,0)</f>
        <v>0</v>
      </c>
      <c r="R45" s="5">
        <f>IF(D45="Airport",1,0)</f>
        <v>1</v>
      </c>
      <c r="S45" s="2">
        <v>158891.28</v>
      </c>
      <c r="T45" s="2">
        <v>910791.94</v>
      </c>
      <c r="U45" s="12">
        <f>66915.46892
+(1.209928492*E45)
+(27.33619482*F45)
+(-41243.14883*G45)
+(3508.399163*H45)
+(3062.210286*I45)
+(-3438.10791*J45)
+(15157.28728*K45)
+(12509.46131*L45)
+(-15342.70531*M45)
+(-4201.853217*N45)
+(-25291.41891*O45)
+(32832.85351*P45)
+(20219.25907*Q45)
+(44695.0949*R45)</f>
        <v>867782.44803788105</v>
      </c>
      <c r="V45">
        <f>T45-U45</f>
        <v>43009.491962118889</v>
      </c>
    </row>
    <row r="46" spans="1:22">
      <c r="A46" s="2" t="s">
        <v>45</v>
      </c>
      <c r="B46" s="3">
        <v>45689</v>
      </c>
      <c r="C46" s="2" t="s">
        <v>27</v>
      </c>
      <c r="D46" s="2" t="s">
        <v>16</v>
      </c>
      <c r="E46" s="2">
        <v>67439.3</v>
      </c>
      <c r="F46" s="2">
        <v>6477</v>
      </c>
      <c r="G46" s="2">
        <v>0</v>
      </c>
      <c r="H46" s="2">
        <v>16</v>
      </c>
      <c r="I46" s="2">
        <v>90.9</v>
      </c>
      <c r="J46" s="2">
        <v>1.64</v>
      </c>
      <c r="K46" s="2">
        <v>0</v>
      </c>
      <c r="L46" s="2">
        <v>4.5</v>
      </c>
      <c r="M46" s="5">
        <f>IF(C46="North",1,0)</f>
        <v>0</v>
      </c>
      <c r="N46" s="5">
        <f>IF(C46="South",1,0)</f>
        <v>0</v>
      </c>
      <c r="O46" s="5">
        <f>IF(C46="East",1,0)</f>
        <v>0</v>
      </c>
      <c r="P46" s="5">
        <f>IF(D46="Mall",1,0)</f>
        <v>0</v>
      </c>
      <c r="Q46" s="5">
        <f>IF(D46="High Street",1,0)</f>
        <v>0</v>
      </c>
      <c r="R46" s="5">
        <f>IF(D46="Airport",1,0)</f>
        <v>0</v>
      </c>
      <c r="S46" s="2">
        <v>151527.22</v>
      </c>
      <c r="T46" s="2">
        <v>753473.55</v>
      </c>
      <c r="U46" s="12">
        <f>66915.46892
+(1.209928492*E46)
+(27.33619482*F46)
+(-41243.14883*G46)
+(3508.399163*H46)
+(3062.210286*I46)
+(-3438.10791*J46)
+(15157.28728*K46)
+(12509.46131*L46)
+(-15342.70531*M46)
+(-4201.853217*N46)
+(-25291.41891*O46)
+(32832.85351*P46)
+(20219.25907*Q46)
+(44695.0949*R46)</f>
        <v>710712.11384767562</v>
      </c>
      <c r="V46">
        <f>T46-U46</f>
        <v>42761.43615232443</v>
      </c>
    </row>
    <row r="47" spans="1:22">
      <c r="A47" s="2" t="s">
        <v>87</v>
      </c>
      <c r="B47" s="3">
        <v>45748</v>
      </c>
      <c r="C47" s="2" t="s">
        <v>27</v>
      </c>
      <c r="D47" s="2" t="s">
        <v>18</v>
      </c>
      <c r="E47" s="2">
        <v>58688.26</v>
      </c>
      <c r="F47" s="2">
        <v>4022</v>
      </c>
      <c r="G47" s="2">
        <v>0.217</v>
      </c>
      <c r="H47" s="2">
        <v>12</v>
      </c>
      <c r="I47" s="2">
        <v>93.8</v>
      </c>
      <c r="J47" s="2">
        <v>11.78</v>
      </c>
      <c r="K47" s="2">
        <v>0</v>
      </c>
      <c r="L47" s="2">
        <v>3.7</v>
      </c>
      <c r="M47" s="5">
        <f>IF(C47="North",1,0)</f>
        <v>0</v>
      </c>
      <c r="N47" s="5">
        <f>IF(C47="South",1,0)</f>
        <v>0</v>
      </c>
      <c r="O47" s="5">
        <f>IF(C47="East",1,0)</f>
        <v>0</v>
      </c>
      <c r="P47" s="5">
        <f>IF(D47="Mall",1,0)</f>
        <v>0</v>
      </c>
      <c r="Q47" s="5">
        <f>IF(D47="High Street",1,0)</f>
        <v>1</v>
      </c>
      <c r="R47" s="5">
        <f>IF(D47="Airport",1,0)</f>
        <v>0</v>
      </c>
      <c r="S47" s="2">
        <v>78908.350000000006</v>
      </c>
      <c r="T47" s="2">
        <v>636613.23</v>
      </c>
      <c r="U47" s="12">
        <f>66915.46892
+(1.209928492*E47)
+(27.33619482*F47)
+(-41243.14883*G47)
+(3508.399163*H47)
+(3062.210286*I47)
+(-3438.10791*J47)
+(15157.28728*K47)
+(12509.46131*L47)
+(-15342.70531*M47)
+(-4201.853217*N47)
+(-25291.41891*O47)
+(32832.85351*P47)
+(20219.25907*Q47)
+(44695.0949*R47)</f>
        <v>594259.94862983387</v>
      </c>
      <c r="V47">
        <f>T47-U47</f>
        <v>42353.281370166107</v>
      </c>
    </row>
    <row r="48" spans="1:22">
      <c r="A48" s="2" t="s">
        <v>40</v>
      </c>
      <c r="B48" s="3">
        <v>45658</v>
      </c>
      <c r="C48" s="2" t="s">
        <v>15</v>
      </c>
      <c r="D48" s="2" t="s">
        <v>16</v>
      </c>
      <c r="E48" s="2">
        <v>46201.46</v>
      </c>
      <c r="F48" s="2">
        <v>5918</v>
      </c>
      <c r="G48" s="2">
        <v>0.27700000000000002</v>
      </c>
      <c r="H48" s="2">
        <v>13</v>
      </c>
      <c r="I48" s="2">
        <v>78.8</v>
      </c>
      <c r="J48" s="2">
        <v>4.91</v>
      </c>
      <c r="K48" s="2">
        <v>0</v>
      </c>
      <c r="L48" s="2">
        <v>4.5</v>
      </c>
      <c r="M48" s="5">
        <f>IF(C48="North",1,0)</f>
        <v>0</v>
      </c>
      <c r="N48" s="5">
        <f>IF(C48="South",1,0)</f>
        <v>0</v>
      </c>
      <c r="O48" s="5">
        <f>IF(C48="East",1,0)</f>
        <v>1</v>
      </c>
      <c r="P48" s="5">
        <f>IF(D48="Mall",1,0)</f>
        <v>0</v>
      </c>
      <c r="Q48" s="5">
        <f>IF(D48="High Street",1,0)</f>
        <v>0</v>
      </c>
      <c r="R48" s="5">
        <f>IF(D48="Airport",1,0)</f>
        <v>0</v>
      </c>
      <c r="S48" s="2">
        <v>54453.99</v>
      </c>
      <c r="T48" s="2">
        <v>616069.41</v>
      </c>
      <c r="U48" s="12">
        <f>66915.46892
+(1.209928492*E48)
+(27.33619482*F48)
+(-41243.14883*G48)
+(3508.399163*H48)
+(3062.210286*I48)
+(-3438.10791*J48)
+(15157.28728*K48)
+(12509.46131*L48)
+(-15342.70531*M48)
+(-4201.853217*N48)
+(-25291.41891*O48)
+(32832.85351*P48)
+(20219.25907*Q48)
+(44695.0949*R48)</f>
        <v>574198.5872675482</v>
      </c>
      <c r="V48">
        <f>T48-U48</f>
        <v>41870.822732451838</v>
      </c>
    </row>
    <row r="49" spans="1:22">
      <c r="A49" s="2" t="s">
        <v>37</v>
      </c>
      <c r="B49" s="3">
        <v>45658</v>
      </c>
      <c r="C49" s="2" t="s">
        <v>24</v>
      </c>
      <c r="D49" s="2" t="s">
        <v>18</v>
      </c>
      <c r="E49" s="2">
        <v>74907.98</v>
      </c>
      <c r="F49" s="2">
        <v>5306</v>
      </c>
      <c r="G49" s="2">
        <v>6.2E-2</v>
      </c>
      <c r="H49" s="2">
        <v>16</v>
      </c>
      <c r="I49" s="2">
        <v>95.6</v>
      </c>
      <c r="J49" s="2">
        <v>1.02</v>
      </c>
      <c r="K49" s="2">
        <v>0</v>
      </c>
      <c r="L49" s="2">
        <v>3.7</v>
      </c>
      <c r="M49" s="5">
        <f>IF(C49="North",1,0)</f>
        <v>0</v>
      </c>
      <c r="N49" s="5">
        <f>IF(C49="South",1,0)</f>
        <v>1</v>
      </c>
      <c r="O49" s="5">
        <f>IF(C49="East",1,0)</f>
        <v>0</v>
      </c>
      <c r="P49" s="5">
        <f>IF(D49="Mall",1,0)</f>
        <v>0</v>
      </c>
      <c r="Q49" s="5">
        <f>IF(D49="High Street",1,0)</f>
        <v>1</v>
      </c>
      <c r="R49" s="5">
        <f>IF(D49="Airport",1,0)</f>
        <v>0</v>
      </c>
      <c r="S49" s="2">
        <v>144522.53</v>
      </c>
      <c r="T49" s="2">
        <v>749559.71</v>
      </c>
      <c r="U49" s="12">
        <f>66915.46892
+(1.209928492*E49)
+(27.33619482*F49)
+(-41243.14883*G49)
+(3508.399163*H49)
+(3062.210286*I49)
+(-3438.10791*J49)
+(15157.28728*K49)
+(12509.46131*L49)
+(-15342.70531*M49)
+(-4201.853217*N49)
+(-25291.41891*O49)
+(32832.85351*P49)
+(20219.25907*Q49)
+(44695.0949*R49)</f>
        <v>707714.77526902605</v>
      </c>
      <c r="V49">
        <f>T49-U49</f>
        <v>41844.93473097391</v>
      </c>
    </row>
    <row r="50" spans="1:22">
      <c r="A50" s="2" t="s">
        <v>88</v>
      </c>
      <c r="B50" s="3">
        <v>45748</v>
      </c>
      <c r="C50" s="2" t="s">
        <v>15</v>
      </c>
      <c r="D50" s="2" t="s">
        <v>18</v>
      </c>
      <c r="E50" s="2">
        <v>67722.289999999994</v>
      </c>
      <c r="F50" s="2">
        <v>7240</v>
      </c>
      <c r="G50" s="2">
        <v>2.5999999999999999E-2</v>
      </c>
      <c r="H50" s="2">
        <v>15</v>
      </c>
      <c r="I50" s="2">
        <v>92.9</v>
      </c>
      <c r="J50" s="2">
        <v>0.28999999999999998</v>
      </c>
      <c r="K50" s="2">
        <v>0</v>
      </c>
      <c r="L50" s="2">
        <v>3.5</v>
      </c>
      <c r="M50" s="5">
        <f>IF(C50="North",1,0)</f>
        <v>0</v>
      </c>
      <c r="N50" s="5">
        <f>IF(C50="South",1,0)</f>
        <v>0</v>
      </c>
      <c r="O50" s="5">
        <f>IF(C50="East",1,0)</f>
        <v>1</v>
      </c>
      <c r="P50" s="5">
        <f>IF(D50="Mall",1,0)</f>
        <v>0</v>
      </c>
      <c r="Q50" s="5">
        <f>IF(D50="High Street",1,0)</f>
        <v>1</v>
      </c>
      <c r="R50" s="5">
        <f>IF(D50="Airport",1,0)</f>
        <v>0</v>
      </c>
      <c r="S50" s="2">
        <v>159158.19</v>
      </c>
      <c r="T50" s="2">
        <v>762328.31</v>
      </c>
      <c r="U50" s="12">
        <f>66915.46892
+(1.209928492*E50)
+(27.33619482*F50)
+(-41243.14883*G50)
+(3508.399163*H50)
+(3062.210286*I50)
+(-3438.10791*J50)
+(15157.28728*K50)
+(12509.46131*L50)
+(-15342.70531*M50)
+(-4201.853217*N50)
+(-25291.41891*O50)
+(32832.85351*P50)
+(20219.25907*Q50)
+(44695.0949*R50)</f>
        <v>720515.55222720653</v>
      </c>
      <c r="V50">
        <f>T50-U50</f>
        <v>41812.757772793528</v>
      </c>
    </row>
    <row r="51" spans="1:22">
      <c r="A51" s="2" t="s">
        <v>68</v>
      </c>
      <c r="B51" s="3">
        <v>45717</v>
      </c>
      <c r="C51" s="2" t="s">
        <v>20</v>
      </c>
      <c r="D51" s="2" t="s">
        <v>18</v>
      </c>
      <c r="E51" s="2">
        <v>48031.74</v>
      </c>
      <c r="F51" s="2">
        <v>6516</v>
      </c>
      <c r="G51" s="2">
        <v>6.7000000000000004E-2</v>
      </c>
      <c r="H51" s="2">
        <v>14</v>
      </c>
      <c r="I51" s="2">
        <v>99</v>
      </c>
      <c r="J51" s="2">
        <v>0.48</v>
      </c>
      <c r="K51" s="2">
        <v>1</v>
      </c>
      <c r="L51" s="2">
        <v>4.3</v>
      </c>
      <c r="M51" s="5">
        <f>IF(C51="North",1,0)</f>
        <v>1</v>
      </c>
      <c r="N51" s="5">
        <f>IF(C51="South",1,0)</f>
        <v>0</v>
      </c>
      <c r="O51" s="5">
        <f>IF(C51="East",1,0)</f>
        <v>0</v>
      </c>
      <c r="P51" s="5">
        <f>IF(D51="Mall",1,0)</f>
        <v>0</v>
      </c>
      <c r="Q51" s="5">
        <f>IF(D51="High Street",1,0)</f>
        <v>1</v>
      </c>
      <c r="R51" s="5">
        <f>IF(D51="Airport",1,0)</f>
        <v>0</v>
      </c>
      <c r="S51" s="2">
        <v>114005.9</v>
      </c>
      <c r="T51" s="2">
        <v>765906.95</v>
      </c>
      <c r="U51" s="12">
        <f>66915.46892
+(1.209928492*E51)
+(27.33619482*F51)
+(-41243.14883*G51)
+(3508.399163*H51)
+(3062.210286*I51)
+(-3438.10791*J51)
+(15157.28728*K51)
+(12509.46131*L51)
+(-15342.70531*M51)
+(-4201.853217*N51)
+(-25291.41891*O51)
+(32832.85351*P51)
+(20219.25907*Q51)
+(44695.0949*R51)</f>
        <v>724840.4336140462</v>
      </c>
      <c r="V51">
        <f>T51-U51</f>
        <v>41066.516385953757</v>
      </c>
    </row>
    <row r="52" spans="1:22">
      <c r="A52" s="2" t="s">
        <v>26</v>
      </c>
      <c r="B52" s="3">
        <v>45748</v>
      </c>
      <c r="C52" s="2" t="s">
        <v>27</v>
      </c>
      <c r="D52" s="2" t="s">
        <v>28</v>
      </c>
      <c r="E52" s="2">
        <v>52715.1</v>
      </c>
      <c r="F52" s="2">
        <v>7223</v>
      </c>
      <c r="G52" s="2">
        <v>0.122</v>
      </c>
      <c r="H52" s="2">
        <v>16</v>
      </c>
      <c r="I52" s="2">
        <v>84.2</v>
      </c>
      <c r="J52" s="2">
        <v>16.149999999999999</v>
      </c>
      <c r="K52" s="2">
        <v>0</v>
      </c>
      <c r="L52" s="2">
        <v>3.7</v>
      </c>
      <c r="M52" s="5">
        <f>IF(C52="North",1,0)</f>
        <v>0</v>
      </c>
      <c r="N52" s="5">
        <f>IF(C52="South",1,0)</f>
        <v>0</v>
      </c>
      <c r="O52" s="5">
        <f>IF(C52="East",1,0)</f>
        <v>0</v>
      </c>
      <c r="P52" s="5">
        <f>IF(D52="Mall",1,0)</f>
        <v>1</v>
      </c>
      <c r="Q52" s="5">
        <f>IF(D52="High Street",1,0)</f>
        <v>0</v>
      </c>
      <c r="R52" s="5">
        <f>IF(D52="Airport",1,0)</f>
        <v>0</v>
      </c>
      <c r="S52" s="2">
        <v>106111.86</v>
      </c>
      <c r="T52" s="2">
        <v>701641.97</v>
      </c>
      <c r="U52" s="12">
        <f>66915.46892
+(1.209928492*E52)
+(27.33619482*F52)
+(-41243.14883*G52)
+(3508.399163*H52)
+(3062.210286*I52)
+(-3438.10791*J52)
+(15157.28728*K52)
+(12509.46131*L52)
+(-15342.70531*M52)
+(-4201.853217*N52)
+(-25291.41891*O52)
+(32832.85351*P52)
+(20219.25907*Q52)
+(44695.0949*R52)</f>
        <v>660679.55169592914</v>
      </c>
      <c r="V52">
        <f>T52-U52</f>
        <v>40962.41830407083</v>
      </c>
    </row>
    <row r="53" spans="1:22">
      <c r="A53" s="2" t="s">
        <v>22</v>
      </c>
      <c r="B53" s="3">
        <v>45658</v>
      </c>
      <c r="C53" s="2" t="s">
        <v>15</v>
      </c>
      <c r="D53" s="2" t="s">
        <v>16</v>
      </c>
      <c r="E53" s="2">
        <v>71828.259999999995</v>
      </c>
      <c r="F53" s="2">
        <v>12775</v>
      </c>
      <c r="G53" s="2">
        <v>0.11600000000000001</v>
      </c>
      <c r="H53" s="2">
        <v>30</v>
      </c>
      <c r="I53" s="2">
        <v>81.7</v>
      </c>
      <c r="J53" s="2">
        <v>4.24</v>
      </c>
      <c r="K53" s="2">
        <v>1</v>
      </c>
      <c r="L53" s="2">
        <v>4.2</v>
      </c>
      <c r="M53" s="5">
        <f>IF(C53="North",1,0)</f>
        <v>0</v>
      </c>
      <c r="N53" s="5">
        <f>IF(C53="South",1,0)</f>
        <v>0</v>
      </c>
      <c r="O53" s="5">
        <f>IF(C53="East",1,0)</f>
        <v>1</v>
      </c>
      <c r="P53" s="5">
        <f>IF(D53="Mall",1,0)</f>
        <v>0</v>
      </c>
      <c r="Q53" s="5">
        <f>IF(D53="High Street",1,0)</f>
        <v>0</v>
      </c>
      <c r="R53" s="5">
        <f>IF(D53="Airport",1,0)</f>
        <v>0</v>
      </c>
      <c r="S53" s="2">
        <v>107494.53</v>
      </c>
      <c r="T53" s="2">
        <v>922168.6</v>
      </c>
      <c r="U53" s="12">
        <f>66915.46892
+(1.209928492*E53)
+(27.33619482*F53)
+(-41243.14883*G53)
+(3508.399163*H53)
+(3062.210286*I53)
+(-3438.10791*J53)
+(15157.28728*K53)
+(12509.46131*L53)
+(-15342.70531*M53)
+(-4201.853217*N53)
+(-25291.41891*O53)
+(32832.85351*P53)
+(20219.25907*Q53)
+(44695.0949*R53)</f>
        <v>881520.79437580402</v>
      </c>
      <c r="V53">
        <f>T53-U53</f>
        <v>40647.805624195957</v>
      </c>
    </row>
    <row r="54" spans="1:22">
      <c r="A54" s="2" t="s">
        <v>75</v>
      </c>
      <c r="B54" s="3">
        <v>45689</v>
      </c>
      <c r="C54" s="2" t="s">
        <v>27</v>
      </c>
      <c r="D54" s="2" t="s">
        <v>16</v>
      </c>
      <c r="E54" s="2">
        <v>41819.449999999997</v>
      </c>
      <c r="F54" s="2">
        <v>9412</v>
      </c>
      <c r="G54" s="2">
        <v>0.15</v>
      </c>
      <c r="H54" s="2">
        <v>22</v>
      </c>
      <c r="I54" s="2">
        <v>91</v>
      </c>
      <c r="J54" s="2">
        <v>3.67</v>
      </c>
      <c r="K54" s="2">
        <v>0</v>
      </c>
      <c r="L54" s="2">
        <v>4.2</v>
      </c>
      <c r="M54" s="5">
        <f>IF(C54="North",1,0)</f>
        <v>0</v>
      </c>
      <c r="N54" s="5">
        <f>IF(C54="South",1,0)</f>
        <v>0</v>
      </c>
      <c r="O54" s="5">
        <f>IF(C54="East",1,0)</f>
        <v>0</v>
      </c>
      <c r="P54" s="5">
        <f>IF(D54="Mall",1,0)</f>
        <v>0</v>
      </c>
      <c r="Q54" s="5">
        <f>IF(D54="High Street",1,0)</f>
        <v>0</v>
      </c>
      <c r="R54" s="5">
        <f>IF(D54="Airport",1,0)</f>
        <v>0</v>
      </c>
      <c r="S54" s="2">
        <v>140054.5</v>
      </c>
      <c r="T54" s="2">
        <v>804975.5</v>
      </c>
      <c r="U54" s="12">
        <f>66915.46892
+(1.209928492*E54)
+(27.33619482*F54)
+(-41243.14883*G54)
+(3508.399163*H54)
+(3062.210286*I54)
+(-3438.10791*J54)
+(15157.28728*K54)
+(12509.46131*L54)
+(-15342.70531*M54)
+(-4201.853217*N54)
+(-25291.41891*O54)
+(32832.85351*P54)
+(20219.25907*Q54)
+(44695.0949*R54)</f>
        <v>764383.60540040955</v>
      </c>
      <c r="V54">
        <f>T54-U54</f>
        <v>40591.894599590451</v>
      </c>
    </row>
    <row r="55" spans="1:22">
      <c r="A55" s="2" t="s">
        <v>67</v>
      </c>
      <c r="B55" s="3">
        <v>45689</v>
      </c>
      <c r="C55" s="2" t="s">
        <v>27</v>
      </c>
      <c r="D55" s="2" t="s">
        <v>16</v>
      </c>
      <c r="E55" s="2">
        <v>45209.25</v>
      </c>
      <c r="F55" s="2">
        <v>9287</v>
      </c>
      <c r="G55" s="2">
        <v>0.14099999999999999</v>
      </c>
      <c r="H55" s="2">
        <v>22</v>
      </c>
      <c r="I55" s="2">
        <v>86.4</v>
      </c>
      <c r="J55" s="2">
        <v>13.22</v>
      </c>
      <c r="K55" s="2">
        <v>0</v>
      </c>
      <c r="L55" s="2">
        <v>3.6</v>
      </c>
      <c r="M55" s="5">
        <f>IF(C55="North",1,0)</f>
        <v>0</v>
      </c>
      <c r="N55" s="5">
        <f>IF(C55="South",1,0)</f>
        <v>0</v>
      </c>
      <c r="O55" s="5">
        <f>IF(C55="East",1,0)</f>
        <v>0</v>
      </c>
      <c r="P55" s="5">
        <f>IF(D55="Mall",1,0)</f>
        <v>0</v>
      </c>
      <c r="Q55" s="5">
        <f>IF(D55="High Street",1,0)</f>
        <v>0</v>
      </c>
      <c r="R55" s="5">
        <f>IF(D55="Airport",1,0)</f>
        <v>0</v>
      </c>
      <c r="S55" s="2">
        <v>91480.320000000007</v>
      </c>
      <c r="T55" s="2">
        <v>751393.88</v>
      </c>
      <c r="U55" s="12">
        <f>66915.46892
+(1.209928492*E55)
+(27.33619482*F55)
+(-41243.14883*G55)
+(3508.399163*H55)
+(3062.210286*I55)
+(-3438.10791*J55)
+(15157.28728*K55)
+(12509.46131*L55)
+(-15342.70531*M55)
+(-4201.853217*N55)
+(-25291.41891*O55)
+(32832.85351*P55)
+(20219.25907*Q55)
+(44695.0949*R55)</f>
        <v>711013.410347461</v>
      </c>
      <c r="V55">
        <f>T55-U55</f>
        <v>40380.469652539003</v>
      </c>
    </row>
    <row r="56" spans="1:22">
      <c r="A56" s="2" t="s">
        <v>79</v>
      </c>
      <c r="B56" s="3">
        <v>45748</v>
      </c>
      <c r="C56" s="2" t="s">
        <v>15</v>
      </c>
      <c r="D56" s="2" t="s">
        <v>18</v>
      </c>
      <c r="E56" s="2">
        <v>25818.080000000002</v>
      </c>
      <c r="F56" s="2">
        <v>5457</v>
      </c>
      <c r="G56" s="2">
        <v>0</v>
      </c>
      <c r="H56" s="2">
        <v>11</v>
      </c>
      <c r="I56" s="2">
        <v>95.4</v>
      </c>
      <c r="J56" s="2">
        <v>3.3650000000000002</v>
      </c>
      <c r="K56" s="2">
        <v>0</v>
      </c>
      <c r="L56" s="2">
        <v>3.7</v>
      </c>
      <c r="M56" s="5">
        <f>IF(C56="North",1,0)</f>
        <v>0</v>
      </c>
      <c r="N56" s="5">
        <f>IF(C56="South",1,0)</f>
        <v>0</v>
      </c>
      <c r="O56" s="5">
        <f>IF(C56="East",1,0)</f>
        <v>1</v>
      </c>
      <c r="P56" s="5">
        <f>IF(D56="Mall",1,0)</f>
        <v>0</v>
      </c>
      <c r="Q56" s="5">
        <f>IF(D56="High Street",1,0)</f>
        <v>1</v>
      </c>
      <c r="R56" s="5">
        <f>IF(D56="Airport",1,0)</f>
        <v>0</v>
      </c>
      <c r="S56" s="2">
        <v>153835.57</v>
      </c>
      <c r="T56" s="2">
        <v>647512.85</v>
      </c>
      <c r="U56" s="12">
        <f>66915.46892
+(1.209928492*E56)
+(27.33619482*F56)
+(-41243.14883*G56)
+(3508.399163*H56)
+(3062.210286*I56)
+(-3438.10791*J56)
+(15157.28728*K56)
+(12509.46131*L56)
+(-15342.70531*M56)
+(-4201.853217*N56)
+(-25291.41891*O56)
+(32832.85351*P56)
+(20219.25907*Q56)
+(44695.0949*R56)</f>
        <v>607697.98062072531</v>
      </c>
      <c r="V56">
        <f>T56-U56</f>
        <v>39814.869379274664</v>
      </c>
    </row>
    <row r="57" spans="1:22">
      <c r="A57" s="2" t="s">
        <v>98</v>
      </c>
      <c r="B57" s="3">
        <v>45717</v>
      </c>
      <c r="C57" s="2" t="s">
        <v>24</v>
      </c>
      <c r="D57" s="2" t="s">
        <v>16</v>
      </c>
      <c r="E57" s="2">
        <v>22387.26</v>
      </c>
      <c r="F57" s="2">
        <v>6301</v>
      </c>
      <c r="G57" s="2">
        <v>0.14599999999999999</v>
      </c>
      <c r="H57" s="2">
        <v>14</v>
      </c>
      <c r="I57" s="2">
        <v>85.9</v>
      </c>
      <c r="J57" s="2">
        <v>1.17</v>
      </c>
      <c r="K57" s="2">
        <v>1</v>
      </c>
      <c r="L57" s="2">
        <v>3.7</v>
      </c>
      <c r="M57" s="5">
        <f>IF(C57="North",1,0)</f>
        <v>0</v>
      </c>
      <c r="N57" s="5">
        <f>IF(C57="South",1,0)</f>
        <v>1</v>
      </c>
      <c r="O57" s="5">
        <f>IF(C57="East",1,0)</f>
        <v>0</v>
      </c>
      <c r="P57" s="5">
        <f>IF(D57="Mall",1,0)</f>
        <v>0</v>
      </c>
      <c r="Q57" s="5">
        <f>IF(D57="High Street",1,0)</f>
        <v>0</v>
      </c>
      <c r="R57" s="5">
        <f>IF(D57="Airport",1,0)</f>
        <v>0</v>
      </c>
      <c r="S57" s="2">
        <v>93441.81</v>
      </c>
      <c r="T57" s="2">
        <v>665342.49</v>
      </c>
      <c r="U57" s="12">
        <f>66915.46892
+(1.209928492*E57)
+(27.33619482*F57)
+(-41243.14883*G57)
+(3508.399163*H57)
+(3062.210286*I57)
+(-3438.10791*J57)
+(15157.28728*K57)
+(12509.46131*L57)
+(-15342.70531*M57)
+(-4201.853217*N57)
+(-25291.41891*O57)
+(32832.85351*P57)
+(20219.25907*Q57)
+(44695.0949*R57)</f>
        <v>625605.62298815185</v>
      </c>
      <c r="V57">
        <f>T57-U57</f>
        <v>39736.867011848139</v>
      </c>
    </row>
    <row r="58" spans="1:22">
      <c r="A58" s="2" t="s">
        <v>53</v>
      </c>
      <c r="B58" s="3">
        <v>45717</v>
      </c>
      <c r="C58" s="2" t="s">
        <v>24</v>
      </c>
      <c r="D58" s="2" t="s">
        <v>18</v>
      </c>
      <c r="E58" s="2">
        <v>56517.9</v>
      </c>
      <c r="F58" s="2">
        <v>9574</v>
      </c>
      <c r="G58" s="2">
        <v>0.20399999999999999</v>
      </c>
      <c r="H58" s="2">
        <v>20</v>
      </c>
      <c r="I58" s="2">
        <v>88.2</v>
      </c>
      <c r="J58" s="2">
        <v>5.37</v>
      </c>
      <c r="K58" s="2">
        <v>1</v>
      </c>
      <c r="L58" s="2">
        <v>4.9000000000000004</v>
      </c>
      <c r="M58" s="5">
        <f>IF(C58="North",1,0)</f>
        <v>0</v>
      </c>
      <c r="N58" s="5">
        <f>IF(C58="South",1,0)</f>
        <v>1</v>
      </c>
      <c r="O58" s="5">
        <f>IF(C58="East",1,0)</f>
        <v>0</v>
      </c>
      <c r="P58" s="5">
        <f>IF(D58="Mall",1,0)</f>
        <v>0</v>
      </c>
      <c r="Q58" s="5">
        <f>IF(D58="High Street",1,0)</f>
        <v>1</v>
      </c>
      <c r="R58" s="5">
        <f>IF(D58="Airport",1,0)</f>
        <v>0</v>
      </c>
      <c r="S58" s="2">
        <v>107348.22</v>
      </c>
      <c r="T58" s="2">
        <v>842157.92</v>
      </c>
      <c r="U58" s="12">
        <f>66915.46892
+(1.209928492*E58)
+(27.33619482*F58)
+(-41243.14883*G58)
+(3508.399163*H58)
+(3062.210286*I58)
+(-3438.10791*J58)
+(15157.28728*K58)
+(12509.46131*L58)
+(-15342.70531*M58)
+(-4201.853217*N58)
+(-25291.41891*O58)
+(32832.85351*P58)
+(20219.25907*Q58)
+(44695.0949*R58)</f>
        <v>802864.55784386699</v>
      </c>
      <c r="V58">
        <f>T58-U58</f>
        <v>39293.362156133051</v>
      </c>
    </row>
    <row r="59" spans="1:22">
      <c r="A59" s="2" t="s">
        <v>89</v>
      </c>
      <c r="B59" s="3">
        <v>45689</v>
      </c>
      <c r="C59" s="2" t="s">
        <v>15</v>
      </c>
      <c r="D59" s="2" t="s">
        <v>28</v>
      </c>
      <c r="E59" s="2">
        <v>23914.97</v>
      </c>
      <c r="F59" s="2">
        <v>8018</v>
      </c>
      <c r="G59" s="2">
        <v>0.13900000000000001</v>
      </c>
      <c r="H59" s="2">
        <v>20</v>
      </c>
      <c r="I59" s="2">
        <v>89</v>
      </c>
      <c r="J59" s="2">
        <v>0.2</v>
      </c>
      <c r="K59" s="2">
        <v>0</v>
      </c>
      <c r="L59" s="2">
        <v>3.5</v>
      </c>
      <c r="M59" s="5">
        <f>IF(C59="North",1,0)</f>
        <v>0</v>
      </c>
      <c r="N59" s="5">
        <f>IF(C59="South",1,0)</f>
        <v>0</v>
      </c>
      <c r="O59" s="5">
        <f>IF(C59="East",1,0)</f>
        <v>1</v>
      </c>
      <c r="P59" s="5">
        <f>IF(D59="Mall",1,0)</f>
        <v>1</v>
      </c>
      <c r="Q59" s="5">
        <f>IF(D59="High Street",1,0)</f>
        <v>0</v>
      </c>
      <c r="R59" s="5">
        <f>IF(D59="Airport",1,0)</f>
        <v>0</v>
      </c>
      <c r="S59" s="2">
        <v>121032.29</v>
      </c>
      <c r="T59" s="2">
        <v>739374.56</v>
      </c>
      <c r="U59" s="12">
        <f>66915.46892
+(1.209928492*E59)
+(27.33619482*F59)
+(-41243.14883*G59)
+(3508.399163*H59)
+(3062.210286*I59)
+(-3438.10791*J59)
+(15157.28728*K59)
+(12509.46131*L59)
+(-15342.70531*M59)
+(-4201.853217*N59)
+(-25291.41891*O59)
+(32832.85351*P59)
+(20219.25907*Q59)
+(44695.0949*R59)</f>
        <v>702641.31120471528</v>
      </c>
      <c r="V59">
        <f>T59-U59</f>
        <v>36733.248795284773</v>
      </c>
    </row>
    <row r="60" spans="1:22">
      <c r="A60" s="2" t="s">
        <v>91</v>
      </c>
      <c r="B60" s="3">
        <v>45689</v>
      </c>
      <c r="C60" s="2" t="s">
        <v>24</v>
      </c>
      <c r="D60" s="2" t="s">
        <v>16</v>
      </c>
      <c r="E60" s="2">
        <v>36832.33</v>
      </c>
      <c r="F60" s="2">
        <v>8001</v>
      </c>
      <c r="G60" s="2">
        <v>0</v>
      </c>
      <c r="H60" s="2">
        <v>19</v>
      </c>
      <c r="I60" s="2">
        <v>88.7</v>
      </c>
      <c r="J60" s="2">
        <v>3.39</v>
      </c>
      <c r="K60" s="2">
        <v>0</v>
      </c>
      <c r="L60" s="2">
        <v>4</v>
      </c>
      <c r="M60" s="5">
        <f>IF(C60="North",1,0)</f>
        <v>0</v>
      </c>
      <c r="N60" s="5">
        <f>IF(C60="South",1,0)</f>
        <v>1</v>
      </c>
      <c r="O60" s="5">
        <f>IF(C60="East",1,0)</f>
        <v>0</v>
      </c>
      <c r="P60" s="5">
        <f>IF(D60="Mall",1,0)</f>
        <v>0</v>
      </c>
      <c r="Q60" s="5">
        <f>IF(D60="High Street",1,0)</f>
        <v>0</v>
      </c>
      <c r="R60" s="5">
        <f>IF(D60="Airport",1,0)</f>
        <v>0</v>
      </c>
      <c r="S60" s="2">
        <v>134282.76999999999</v>
      </c>
      <c r="T60" s="2">
        <v>738548.42</v>
      </c>
      <c r="U60" s="12">
        <f>66915.46892
+(1.209928492*E60)
+(27.33619482*F60)
+(-41243.14883*G60)
+(3508.399163*H60)
+(3062.210286*I60)
+(-3438.10791*J60)
+(15157.28728*K60)
+(12509.46131*L60)
+(-15342.70531*M60)
+(-4201.853217*N60)
+(-25291.41891*O60)
+(32832.85351*P60)
+(20219.25907*Q60)
+(44695.0949*R60)</f>
        <v>702655.29184186656</v>
      </c>
      <c r="V60">
        <f>T60-U60</f>
        <v>35893.128158133477</v>
      </c>
    </row>
    <row r="61" spans="1:22">
      <c r="A61" s="2" t="s">
        <v>56</v>
      </c>
      <c r="B61" s="3">
        <v>45748</v>
      </c>
      <c r="C61" s="2" t="s">
        <v>24</v>
      </c>
      <c r="D61" s="2" t="s">
        <v>16</v>
      </c>
      <c r="E61" s="2">
        <v>44211.95</v>
      </c>
      <c r="F61" s="2">
        <v>5465</v>
      </c>
      <c r="G61" s="2">
        <v>0.187</v>
      </c>
      <c r="H61" s="2">
        <v>12</v>
      </c>
      <c r="I61" s="2">
        <v>90</v>
      </c>
      <c r="J61" s="2">
        <v>2.89</v>
      </c>
      <c r="K61" s="2">
        <v>0</v>
      </c>
      <c r="L61" s="2">
        <v>3.6</v>
      </c>
      <c r="M61" s="5">
        <f>IF(C61="North",1,0)</f>
        <v>0</v>
      </c>
      <c r="N61" s="5">
        <f>IF(C61="South",1,0)</f>
        <v>1</v>
      </c>
      <c r="O61" s="5">
        <f>IF(C61="East",1,0)</f>
        <v>0</v>
      </c>
      <c r="P61" s="5">
        <f>IF(D61="Mall",1,0)</f>
        <v>0</v>
      </c>
      <c r="Q61" s="5">
        <f>IF(D61="High Street",1,0)</f>
        <v>0</v>
      </c>
      <c r="R61" s="5">
        <f>IF(D61="Airport",1,0)</f>
        <v>0</v>
      </c>
      <c r="S61" s="2">
        <v>97981.75</v>
      </c>
      <c r="T61" s="2">
        <v>646559.71</v>
      </c>
      <c r="U61" s="12">
        <f>66915.46892
+(1.209928492*E61)
+(27.33619482*F61)
+(-41243.14883*G61)
+(3508.399163*H61)
+(3062.210286*I61)
+(-3438.10791*J61)
+(15157.28728*K61)
+(12509.46131*L61)
+(-15342.70531*M61)
+(-4201.853217*N61)
+(-25291.41891*O61)
+(32832.85351*P61)
+(20219.25907*Q61)
+(44695.0949*R61)</f>
        <v>610684.39410706935</v>
      </c>
      <c r="V61">
        <f>T61-U61</f>
        <v>35875.315892930608</v>
      </c>
    </row>
    <row r="62" spans="1:22">
      <c r="A62" s="2" t="s">
        <v>48</v>
      </c>
      <c r="B62" s="3">
        <v>45748</v>
      </c>
      <c r="C62" s="2" t="s">
        <v>27</v>
      </c>
      <c r="D62" s="2" t="s">
        <v>18</v>
      </c>
      <c r="E62" s="2">
        <v>31042.03</v>
      </c>
      <c r="F62" s="2">
        <v>7107</v>
      </c>
      <c r="G62" s="2">
        <v>5.0999999999999997E-2</v>
      </c>
      <c r="H62" s="2">
        <v>15</v>
      </c>
      <c r="I62" s="2">
        <v>87</v>
      </c>
      <c r="J62" s="2">
        <v>13.33</v>
      </c>
      <c r="K62" s="2">
        <v>0</v>
      </c>
      <c r="L62" s="2">
        <v>3.2</v>
      </c>
      <c r="M62" s="5">
        <f>IF(C62="North",1,0)</f>
        <v>0</v>
      </c>
      <c r="N62" s="5">
        <f>IF(C62="South",1,0)</f>
        <v>0</v>
      </c>
      <c r="O62" s="5">
        <f>IF(C62="East",1,0)</f>
        <v>0</v>
      </c>
      <c r="P62" s="5">
        <f>IF(D62="Mall",1,0)</f>
        <v>0</v>
      </c>
      <c r="Q62" s="5">
        <f>IF(D62="High Street",1,0)</f>
        <v>1</v>
      </c>
      <c r="R62" s="5">
        <f>IF(D62="Airport",1,0)</f>
        <v>0</v>
      </c>
      <c r="S62" s="2">
        <v>127597.34</v>
      </c>
      <c r="T62" s="2">
        <v>665594.93999999994</v>
      </c>
      <c r="U62" s="12">
        <f>66915.46892
+(1.209928492*E62)
+(27.33619482*F62)
+(-41243.14883*G62)
+(3508.399163*H62)
+(3062.210286*I62)
+(-3438.10791*J62)
+(15157.28728*K62)
+(12509.46131*L62)
+(-15342.70531*M62)
+(-4201.853217*N62)
+(-25291.41891*O62)
+(32832.85351*P62)
+(20219.25907*Q62)
+(44695.0949*R62)</f>
        <v>630106.88061062887</v>
      </c>
      <c r="V62">
        <f>T62-U62</f>
        <v>35488.059389371076</v>
      </c>
    </row>
    <row r="63" spans="1:22">
      <c r="A63" s="2" t="s">
        <v>42</v>
      </c>
      <c r="B63" s="3">
        <v>45689</v>
      </c>
      <c r="C63" s="2" t="s">
        <v>27</v>
      </c>
      <c r="D63" s="2" t="s">
        <v>28</v>
      </c>
      <c r="E63" s="2">
        <v>60628.38</v>
      </c>
      <c r="F63" s="2">
        <v>4451</v>
      </c>
      <c r="G63" s="2">
        <v>9.5000000000000001E-2</v>
      </c>
      <c r="H63" s="2">
        <v>10</v>
      </c>
      <c r="I63" s="2">
        <v>89.6</v>
      </c>
      <c r="J63" s="2">
        <v>3.17</v>
      </c>
      <c r="K63" s="2">
        <v>0</v>
      </c>
      <c r="L63" s="2">
        <v>4.5999999999999996</v>
      </c>
      <c r="M63" s="5">
        <f>IF(C63="North",1,0)</f>
        <v>0</v>
      </c>
      <c r="N63" s="5">
        <f>IF(C63="South",1,0)</f>
        <v>0</v>
      </c>
      <c r="O63" s="5">
        <f>IF(C63="East",1,0)</f>
        <v>0</v>
      </c>
      <c r="P63" s="5">
        <f>IF(D63="Mall",1,0)</f>
        <v>1</v>
      </c>
      <c r="Q63" s="5">
        <f>IF(D63="High Street",1,0)</f>
        <v>0</v>
      </c>
      <c r="R63" s="5">
        <f>IF(D63="Airport",1,0)</f>
        <v>0</v>
      </c>
      <c r="S63" s="2">
        <v>110318.84</v>
      </c>
      <c r="T63" s="2">
        <v>682208.01</v>
      </c>
      <c r="U63" s="12">
        <f>66915.46892
+(1.209928492*E63)
+(27.33619482*F63)
+(-41243.14883*G63)
+(3508.399163*H63)
+(3062.210286*I63)
+(-3438.10791*J63)
+(15157.28728*K63)
+(12509.46131*L63)
+(-15342.70531*M63)
+(-4201.853217*N63)
+(-25291.41891*O63)
+(32832.85351*P63)
+(20219.25907*Q63)
+(44695.0949*R63)</f>
        <v>646962.38402767293</v>
      </c>
      <c r="V63">
        <f>T63-U63</f>
        <v>35245.625972327078</v>
      </c>
    </row>
    <row r="64" spans="1:22">
      <c r="A64" s="2" t="s">
        <v>78</v>
      </c>
      <c r="B64" s="3">
        <v>45748</v>
      </c>
      <c r="C64" s="2" t="s">
        <v>15</v>
      </c>
      <c r="D64" s="2" t="s">
        <v>28</v>
      </c>
      <c r="E64" s="2">
        <v>39341.449999999997</v>
      </c>
      <c r="F64" s="2">
        <v>1375</v>
      </c>
      <c r="G64" s="2">
        <v>9.2999999999999999E-2</v>
      </c>
      <c r="H64" s="2">
        <v>5</v>
      </c>
      <c r="I64" s="2">
        <v>95</v>
      </c>
      <c r="J64" s="2">
        <v>5.32</v>
      </c>
      <c r="K64" s="2">
        <v>0</v>
      </c>
      <c r="L64" s="5">
        <v>3.9</v>
      </c>
      <c r="M64" s="5">
        <f>IF(C64="North",1,0)</f>
        <v>0</v>
      </c>
      <c r="N64" s="5">
        <f>IF(C64="South",1,0)</f>
        <v>0</v>
      </c>
      <c r="O64" s="5">
        <f>IF(C64="East",1,0)</f>
        <v>1</v>
      </c>
      <c r="P64" s="5">
        <f>IF(D64="Mall",1,0)</f>
        <v>1</v>
      </c>
      <c r="Q64" s="5">
        <f>IF(D64="High Street",1,0)</f>
        <v>0</v>
      </c>
      <c r="R64" s="5">
        <f>IF(D64="Airport",1,0)</f>
        <v>0</v>
      </c>
      <c r="S64" s="2">
        <v>84334.33</v>
      </c>
      <c r="T64" s="2">
        <v>529598.93999999994</v>
      </c>
      <c r="U64" s="12">
        <f>66915.46892
+(1.209928492*E64)
+(27.33619482*F64)
+(-41243.14883*G64)
+(3508.399163*H64)
+(3062.210286*I64)
+(-3438.10791*J64)
+(15157.28728*K64)
+(12509.46131*L64)
+(-15342.70531*M64)
+(-4201.853217*N64)
+(-25291.41891*O64)
+(32832.85351*P64)
+(20219.25907*Q64)
+(44695.0949*R64)</f>
        <v>494757.03784070344</v>
      </c>
      <c r="V64">
        <f>T64-U64</f>
        <v>34841.9021592965</v>
      </c>
    </row>
    <row r="65" spans="1:22">
      <c r="A65" s="2" t="s">
        <v>37</v>
      </c>
      <c r="B65" s="3">
        <v>45689</v>
      </c>
      <c r="C65" s="2" t="s">
        <v>24</v>
      </c>
      <c r="D65" s="2" t="s">
        <v>18</v>
      </c>
      <c r="E65" s="2">
        <v>37284.660000000003</v>
      </c>
      <c r="F65" s="2">
        <v>3928</v>
      </c>
      <c r="G65" s="2">
        <v>7.3999999999999996E-2</v>
      </c>
      <c r="H65" s="2">
        <v>12</v>
      </c>
      <c r="I65" s="2">
        <v>86.5</v>
      </c>
      <c r="J65" s="2">
        <v>1.64</v>
      </c>
      <c r="K65" s="2">
        <v>0</v>
      </c>
      <c r="L65" s="2">
        <v>3.8</v>
      </c>
      <c r="M65" s="5">
        <f>IF(C65="North",1,0)</f>
        <v>0</v>
      </c>
      <c r="N65" s="5">
        <f>IF(C65="South",1,0)</f>
        <v>1</v>
      </c>
      <c r="O65" s="5">
        <f>IF(C65="East",1,0)</f>
        <v>0</v>
      </c>
      <c r="P65" s="5">
        <f>IF(D65="Mall",1,0)</f>
        <v>0</v>
      </c>
      <c r="Q65" s="5">
        <f>IF(D65="High Street",1,0)</f>
        <v>1</v>
      </c>
      <c r="R65" s="5">
        <f>IF(D65="Airport",1,0)</f>
        <v>0</v>
      </c>
      <c r="S65" s="2">
        <v>91509.38</v>
      </c>
      <c r="T65" s="2">
        <v>615966.48</v>
      </c>
      <c r="U65" s="12">
        <f>66915.46892
+(1.209928492*E65)
+(27.33619482*F65)
+(-41243.14883*G65)
+(3508.399163*H65)
+(3062.210286*I65)
+(-3438.10791*J65)
+(15157.28728*K65)
+(12509.46131*L65)
+(-15342.70531*M65)
+(-4201.853217*N65)
+(-25291.41891*O65)
+(32832.85351*P65)
+(20219.25907*Q65)
+(44695.0949*R65)</f>
        <v>581248.66316167277</v>
      </c>
      <c r="V65">
        <f>T65-U65</f>
        <v>34717.816838327213</v>
      </c>
    </row>
    <row r="66" spans="1:22">
      <c r="A66" s="2" t="s">
        <v>68</v>
      </c>
      <c r="B66" s="3">
        <v>45748</v>
      </c>
      <c r="C66" s="2" t="s">
        <v>20</v>
      </c>
      <c r="D66" s="2" t="s">
        <v>18</v>
      </c>
      <c r="E66" s="2">
        <v>72784.800000000003</v>
      </c>
      <c r="F66" s="2">
        <v>7932</v>
      </c>
      <c r="G66" s="2">
        <v>9.4E-2</v>
      </c>
      <c r="H66" s="2">
        <v>20</v>
      </c>
      <c r="I66" s="2">
        <v>74.900000000000006</v>
      </c>
      <c r="J66" s="2">
        <v>13.62</v>
      </c>
      <c r="K66" s="2">
        <v>0</v>
      </c>
      <c r="L66" s="2">
        <v>4.2</v>
      </c>
      <c r="M66" s="5">
        <f>IF(C66="North",1,0)</f>
        <v>1</v>
      </c>
      <c r="N66" s="5">
        <f>IF(C66="South",1,0)</f>
        <v>0</v>
      </c>
      <c r="O66" s="5">
        <f>IF(C66="East",1,0)</f>
        <v>0</v>
      </c>
      <c r="P66" s="5">
        <f>IF(D66="Mall",1,0)</f>
        <v>0</v>
      </c>
      <c r="Q66" s="5">
        <f>IF(D66="High Street",1,0)</f>
        <v>1</v>
      </c>
      <c r="R66" s="5">
        <f>IF(D66="Airport",1,0)</f>
        <v>0</v>
      </c>
      <c r="S66" s="2">
        <v>101480.04</v>
      </c>
      <c r="T66" s="2">
        <v>712546.38</v>
      </c>
      <c r="U66" s="12">
        <f>66915.46892
+(1.209928492*E66)
+(27.33619482*F66)
+(-41243.14883*G66)
+(3508.399163*H66)
+(3062.210286*I66)
+(-3438.10791*J66)
+(15157.28728*K66)
+(12509.46131*L66)
+(-15342.70531*M66)
+(-4201.853217*N66)
+(-25291.41891*O66)
+(32832.85351*P66)
+(20219.25907*Q66)
+(44695.0949*R66)</f>
        <v>678050.50875594164</v>
      </c>
      <c r="V66">
        <f>T66-U66</f>
        <v>34495.871244058362</v>
      </c>
    </row>
    <row r="67" spans="1:22">
      <c r="A67" s="2" t="s">
        <v>32</v>
      </c>
      <c r="B67" s="3">
        <v>45717</v>
      </c>
      <c r="C67" s="2" t="s">
        <v>15</v>
      </c>
      <c r="D67" s="2" t="s">
        <v>28</v>
      </c>
      <c r="E67" s="2">
        <v>68077.539999999994</v>
      </c>
      <c r="F67" s="2">
        <v>3360</v>
      </c>
      <c r="G67" s="2">
        <v>0.128</v>
      </c>
      <c r="H67" s="2">
        <v>14</v>
      </c>
      <c r="I67" s="2">
        <v>88.2</v>
      </c>
      <c r="J67" s="2">
        <v>1.24</v>
      </c>
      <c r="K67" s="2">
        <v>1</v>
      </c>
      <c r="L67" s="2">
        <v>4</v>
      </c>
      <c r="M67" s="5">
        <f>IF(C67="North",1,0)</f>
        <v>0</v>
      </c>
      <c r="N67" s="5">
        <f>IF(C67="South",1,0)</f>
        <v>0</v>
      </c>
      <c r="O67" s="5">
        <f>IF(C67="East",1,0)</f>
        <v>1</v>
      </c>
      <c r="P67" s="5">
        <f>IF(D67="Mall",1,0)</f>
        <v>1</v>
      </c>
      <c r="Q67" s="5">
        <f>IF(D67="High Street",1,0)</f>
        <v>0</v>
      </c>
      <c r="R67" s="5">
        <f>IF(D67="Airport",1,0)</f>
        <v>0</v>
      </c>
      <c r="S67" s="2">
        <v>88919.74</v>
      </c>
      <c r="T67" s="2">
        <v>657429.18000000005</v>
      </c>
      <c r="U67" s="12">
        <f>66915.46892
+(1.209928492*E67)
+(27.33619482*F67)
+(-41243.14883*G67)
+(3508.399163*H67)
+(3062.210286*I67)
+(-3438.10791*J67)
+(15157.28728*K67)
+(12509.46131*L67)
+(-15342.70531*M67)
+(-4201.853217*N67)
+(-25291.41891*O67)
+(32832.85351*P67)
+(20219.25907*Q67)
+(44695.0949*R67)</f>
        <v>623532.76459502988</v>
      </c>
      <c r="V67">
        <f>T67-U67</f>
        <v>33896.415404970176</v>
      </c>
    </row>
    <row r="68" spans="1:22">
      <c r="A68" s="2" t="s">
        <v>49</v>
      </c>
      <c r="B68" s="3">
        <v>45689</v>
      </c>
      <c r="C68" s="2" t="s">
        <v>15</v>
      </c>
      <c r="D68" s="2" t="s">
        <v>28</v>
      </c>
      <c r="E68" s="2">
        <v>69411.7</v>
      </c>
      <c r="F68" s="2">
        <v>5493</v>
      </c>
      <c r="G68" s="2">
        <v>0.29199999999999998</v>
      </c>
      <c r="H68" s="2">
        <v>13</v>
      </c>
      <c r="I68" s="2">
        <v>86.5</v>
      </c>
      <c r="J68" s="2">
        <v>6.69</v>
      </c>
      <c r="K68" s="2">
        <v>0</v>
      </c>
      <c r="L68" s="2">
        <v>3.8</v>
      </c>
      <c r="M68" s="5">
        <f>IF(C68="North",1,0)</f>
        <v>0</v>
      </c>
      <c r="N68" s="5">
        <f>IF(C68="South",1,0)</f>
        <v>0</v>
      </c>
      <c r="O68" s="5">
        <f>IF(C68="East",1,0)</f>
        <v>1</v>
      </c>
      <c r="P68" s="5">
        <f>IF(D68="Mall",1,0)</f>
        <v>1</v>
      </c>
      <c r="Q68" s="5">
        <f>IF(D68="High Street",1,0)</f>
        <v>0</v>
      </c>
      <c r="R68" s="5">
        <f>IF(D68="Airport",1,0)</f>
        <v>0</v>
      </c>
      <c r="S68" s="2">
        <v>98291.06</v>
      </c>
      <c r="T68" s="2">
        <v>664162.49</v>
      </c>
      <c r="U68" s="12">
        <f>66915.46892
+(1.209928492*E68)
+(27.33619482*F68)
+(-41243.14883*G68)
+(3508.399163*H68)
+(3062.210286*I68)
+(-3438.10791*J68)
+(15157.28728*K68)
+(12509.46131*L68)
+(-15342.70531*M68)
+(-4201.853217*N68)
+(-25291.41891*O68)
+(32832.85351*P68)
+(20219.25907*Q68)
+(44695.0949*R68)</f>
        <v>631580.20563415647</v>
      </c>
      <c r="V68">
        <f>T68-U68</f>
        <v>32582.284365843516</v>
      </c>
    </row>
    <row r="69" spans="1:22">
      <c r="A69" s="2" t="s">
        <v>33</v>
      </c>
      <c r="B69" s="3">
        <v>45748</v>
      </c>
      <c r="C69" s="2" t="s">
        <v>27</v>
      </c>
      <c r="D69" s="2" t="s">
        <v>16</v>
      </c>
      <c r="E69" s="2">
        <v>42093.84</v>
      </c>
      <c r="F69" s="2">
        <v>4074</v>
      </c>
      <c r="G69" s="2">
        <v>0.155</v>
      </c>
      <c r="H69" s="2">
        <v>15</v>
      </c>
      <c r="I69" s="2">
        <v>88</v>
      </c>
      <c r="J69" s="2">
        <v>9.64</v>
      </c>
      <c r="K69" s="2">
        <v>0</v>
      </c>
      <c r="L69" s="2">
        <v>3.3</v>
      </c>
      <c r="M69" s="5">
        <f>IF(C69="North",1,0)</f>
        <v>0</v>
      </c>
      <c r="N69" s="5">
        <f>IF(C69="South",1,0)</f>
        <v>0</v>
      </c>
      <c r="O69" s="5">
        <f>IF(C69="East",1,0)</f>
        <v>0</v>
      </c>
      <c r="P69" s="5">
        <f>IF(D69="Mall",1,0)</f>
        <v>0</v>
      </c>
      <c r="Q69" s="5">
        <f>IF(D69="High Street",1,0)</f>
        <v>0</v>
      </c>
      <c r="R69" s="5">
        <f>IF(D69="Airport",1,0)</f>
        <v>0</v>
      </c>
      <c r="S69" s="2">
        <v>81011.520000000004</v>
      </c>
      <c r="T69" s="2">
        <v>585365.73</v>
      </c>
      <c r="U69" s="12">
        <f>66915.46892
+(1.209928492*E69)
+(27.33619482*F69)
+(-41243.14883*G69)
+(3508.399163*H69)
+(3062.210286*I69)
+(-3438.10791*J69)
+(15157.28728*K69)
+(12509.46131*L69)
+(-15342.70531*M69)
+(-4201.853217*N69)
+(-25291.41891*O69)
+(32832.85351*P69)
+(20219.25907*Q69)
+(44695.0949*R69)</f>
        <v>553059.32958531938</v>
      </c>
      <c r="V69">
        <f>T69-U69</f>
        <v>32306.400414680596</v>
      </c>
    </row>
    <row r="70" spans="1:22">
      <c r="A70" s="2" t="s">
        <v>80</v>
      </c>
      <c r="B70" s="3">
        <v>45658</v>
      </c>
      <c r="C70" s="2" t="s">
        <v>27</v>
      </c>
      <c r="D70" s="2" t="s">
        <v>16</v>
      </c>
      <c r="E70" s="2">
        <v>47241.919999999998</v>
      </c>
      <c r="F70" s="2">
        <v>4264</v>
      </c>
      <c r="G70" s="2">
        <v>6.9000000000000006E-2</v>
      </c>
      <c r="H70" s="2">
        <v>13</v>
      </c>
      <c r="I70" s="2">
        <v>95.3</v>
      </c>
      <c r="J70" s="2">
        <v>0.85</v>
      </c>
      <c r="K70" s="2">
        <v>0</v>
      </c>
      <c r="L70" s="2">
        <v>4.3</v>
      </c>
      <c r="M70" s="5">
        <f>IF(C70="North",1,0)</f>
        <v>0</v>
      </c>
      <c r="N70" s="5">
        <f>IF(C70="South",1,0)</f>
        <v>0</v>
      </c>
      <c r="O70" s="5">
        <f>IF(C70="East",1,0)</f>
        <v>0</v>
      </c>
      <c r="P70" s="5">
        <f>IF(D70="Mall",1,0)</f>
        <v>0</v>
      </c>
      <c r="Q70" s="5">
        <f>IF(D70="High Street",1,0)</f>
        <v>0</v>
      </c>
      <c r="R70" s="5">
        <f>IF(D70="Airport",1,0)</f>
        <v>0</v>
      </c>
      <c r="S70" s="2">
        <v>110595.89</v>
      </c>
      <c r="T70" s="2">
        <v>658072.14</v>
      </c>
      <c r="U70" s="12">
        <f>66915.46892
+(1.209928492*E70)
+(27.33619482*F70)
+(-41243.14883*G70)
+(3508.399163*H70)
+(3062.210286*I70)
+(-3438.10791*J70)
+(15157.28728*K70)
+(12509.46131*L70)
+(-15342.70531*M70)
+(-4201.853217*N70)
+(-25291.41891*O70)
+(32832.85351*P70)
+(20219.25907*Q70)
+(44695.0949*R70)</f>
        <v>626096.69267229456</v>
      </c>
      <c r="V70">
        <f>T70-U70</f>
        <v>31975.447327705449</v>
      </c>
    </row>
    <row r="71" spans="1:22">
      <c r="A71" s="2" t="s">
        <v>37</v>
      </c>
      <c r="B71" s="3">
        <v>45748</v>
      </c>
      <c r="C71" s="2" t="s">
        <v>24</v>
      </c>
      <c r="D71" s="2" t="s">
        <v>18</v>
      </c>
      <c r="E71" s="2">
        <v>74954.47</v>
      </c>
      <c r="F71" s="2">
        <v>6620</v>
      </c>
      <c r="G71" s="2">
        <v>5.3999999999999999E-2</v>
      </c>
      <c r="H71" s="2">
        <v>17</v>
      </c>
      <c r="I71" s="2">
        <v>91.1</v>
      </c>
      <c r="J71" s="2">
        <v>1.1100000000000001</v>
      </c>
      <c r="K71" s="2">
        <v>0</v>
      </c>
      <c r="L71" s="2">
        <v>3.5</v>
      </c>
      <c r="M71" s="5">
        <f>IF(C71="North",1,0)</f>
        <v>0</v>
      </c>
      <c r="N71" s="5">
        <f>IF(C71="South",1,0)</f>
        <v>1</v>
      </c>
      <c r="O71" s="5">
        <f>IF(C71="East",1,0)</f>
        <v>0</v>
      </c>
      <c r="P71" s="5">
        <f>IF(D71="Mall",1,0)</f>
        <v>0</v>
      </c>
      <c r="Q71" s="5">
        <f>IF(D71="High Street",1,0)</f>
        <v>1</v>
      </c>
      <c r="R71" s="5">
        <f>IF(D71="Airport",1,0)</f>
        <v>0</v>
      </c>
      <c r="S71" s="2">
        <v>133279.38</v>
      </c>
      <c r="T71" s="2">
        <v>761860.19</v>
      </c>
      <c r="U71" s="12">
        <f>66915.46892
+(1.209928492*E71)
+(27.33619482*F71)
+(-41243.14883*G71)
+(3508.399163*H71)
+(3062.210286*I71)
+(-3438.10791*J71)
+(15157.28728*K71)
+(12509.46131*L71)
+(-15342.70531*M71)
+(-4201.853217*N71)
+(-25291.41891*O71)
+(32832.85351*P71)
+(20219.25907*Q71)
+(44695.0949*R71)</f>
        <v>730937.86093083909</v>
      </c>
      <c r="V71">
        <f>T71-U71</f>
        <v>30922.329069160856</v>
      </c>
    </row>
    <row r="72" spans="1:22">
      <c r="A72" s="2" t="s">
        <v>57</v>
      </c>
      <c r="B72" s="3">
        <v>45658</v>
      </c>
      <c r="C72" s="2" t="s">
        <v>27</v>
      </c>
      <c r="D72" s="2" t="s">
        <v>18</v>
      </c>
      <c r="E72" s="2">
        <v>51430.31</v>
      </c>
      <c r="F72" s="2">
        <v>6427</v>
      </c>
      <c r="G72" s="2">
        <v>0.23400000000000001</v>
      </c>
      <c r="H72" s="2">
        <v>14</v>
      </c>
      <c r="I72" s="2">
        <v>88.8</v>
      </c>
      <c r="J72" s="2">
        <v>0.77</v>
      </c>
      <c r="K72" s="2">
        <v>0</v>
      </c>
      <c r="L72" s="2">
        <v>4.0999999999999996</v>
      </c>
      <c r="M72" s="5">
        <f>IF(C72="North",1,0)</f>
        <v>0</v>
      </c>
      <c r="N72" s="5">
        <f>IF(C72="South",1,0)</f>
        <v>0</v>
      </c>
      <c r="O72" s="5">
        <f>IF(C72="East",1,0)</f>
        <v>0</v>
      </c>
      <c r="P72" s="5">
        <f>IF(D72="Mall",1,0)</f>
        <v>0</v>
      </c>
      <c r="Q72" s="5">
        <f>IF(D72="High Street",1,0)</f>
        <v>1</v>
      </c>
      <c r="R72" s="5">
        <f>IF(D72="Airport",1,0)</f>
        <v>0</v>
      </c>
      <c r="S72" s="2">
        <v>109032.15</v>
      </c>
      <c r="T72" s="2">
        <v>715890.53</v>
      </c>
      <c r="U72" s="12">
        <f>66915.46892
+(1.209928492*E72)
+(27.33619482*F72)
+(-41243.14883*G72)
+(3508.399163*H72)
+(3062.210286*I72)
+(-3438.10791*J72)
+(15157.28728*K72)
+(12509.46131*L72)
+(-15342.70531*M72)
+(-4201.853217*N72)
+(-25291.41891*O72)
+(32832.85351*P72)
+(20219.25907*Q72)
+(44695.0949*R72)</f>
        <v>685083.8626524125</v>
      </c>
      <c r="V72">
        <f>T72-U72</f>
        <v>30806.667347587529</v>
      </c>
    </row>
    <row r="73" spans="1:22">
      <c r="A73" s="2" t="s">
        <v>35</v>
      </c>
      <c r="B73" s="3">
        <v>45689</v>
      </c>
      <c r="C73" s="2" t="s">
        <v>27</v>
      </c>
      <c r="D73" s="2" t="s">
        <v>18</v>
      </c>
      <c r="E73" s="2">
        <v>99874.01</v>
      </c>
      <c r="F73" s="2">
        <v>5887</v>
      </c>
      <c r="G73" s="2">
        <v>0.26200000000000001</v>
      </c>
      <c r="H73" s="2">
        <v>14</v>
      </c>
      <c r="I73" s="2">
        <v>88.7</v>
      </c>
      <c r="J73" s="2">
        <v>6.18</v>
      </c>
      <c r="K73" s="2">
        <v>0</v>
      </c>
      <c r="L73" s="2">
        <v>4.7</v>
      </c>
      <c r="M73" s="5">
        <f>IF(C73="North",1,0)</f>
        <v>0</v>
      </c>
      <c r="N73" s="5">
        <f>IF(C73="South",1,0)</f>
        <v>0</v>
      </c>
      <c r="O73" s="5">
        <f>IF(C73="East",1,0)</f>
        <v>0</v>
      </c>
      <c r="P73" s="5">
        <f>IF(D73="Mall",1,0)</f>
        <v>0</v>
      </c>
      <c r="Q73" s="5">
        <f>IF(D73="High Street",1,0)</f>
        <v>1</v>
      </c>
      <c r="R73" s="5">
        <f>IF(D73="Airport",1,0)</f>
        <v>0</v>
      </c>
      <c r="S73" s="2">
        <v>122437.84</v>
      </c>
      <c r="T73" s="2">
        <v>746677.75</v>
      </c>
      <c r="U73" s="12">
        <f>66915.46892
+(1.209928492*E73)
+(27.33619482*F73)
+(-41243.14883*G73)
+(3508.399163*H73)
+(3062.210286*I73)
+(-3438.10791*J73)
+(15157.28728*K73)
+(12509.46131*L73)
+(-15342.70531*M73)
+(-4201.853217*N73)
+(-25291.41891*O73)
+(32832.85351*P73)
+(20219.25907*Q73)
+(44695.0949*R73)</f>
        <v>716380.21413457301</v>
      </c>
      <c r="V73">
        <f>T73-U73</f>
        <v>30297.535865426995</v>
      </c>
    </row>
    <row r="74" spans="1:22">
      <c r="A74" s="2" t="s">
        <v>65</v>
      </c>
      <c r="B74" s="3">
        <v>45717</v>
      </c>
      <c r="C74" s="2" t="s">
        <v>15</v>
      </c>
      <c r="D74" s="2" t="s">
        <v>16</v>
      </c>
      <c r="E74" s="2">
        <v>68040.149999999994</v>
      </c>
      <c r="F74" s="2">
        <v>9826</v>
      </c>
      <c r="G74" s="2">
        <v>0.125</v>
      </c>
      <c r="H74" s="2">
        <v>20</v>
      </c>
      <c r="I74" s="2">
        <v>83.9</v>
      </c>
      <c r="J74" s="2">
        <v>9.1199999999999992</v>
      </c>
      <c r="K74" s="2">
        <v>0</v>
      </c>
      <c r="L74" s="2">
        <v>3.6</v>
      </c>
      <c r="M74" s="5">
        <f>IF(C74="North",1,0)</f>
        <v>0</v>
      </c>
      <c r="N74" s="5">
        <f>IF(C74="South",1,0)</f>
        <v>0</v>
      </c>
      <c r="O74" s="5">
        <f>IF(C74="East",1,0)</f>
        <v>1</v>
      </c>
      <c r="P74" s="5">
        <f>IF(D74="Mall",1,0)</f>
        <v>0</v>
      </c>
      <c r="Q74" s="5">
        <f>IF(D74="High Street",1,0)</f>
        <v>0</v>
      </c>
      <c r="R74" s="5">
        <f>IF(D74="Airport",1,0)</f>
        <v>0</v>
      </c>
      <c r="S74" s="2">
        <v>132975.26</v>
      </c>
      <c r="T74" s="2">
        <v>758138.29</v>
      </c>
      <c r="U74" s="12">
        <f>66915.46892
+(1.209928492*E74)
+(27.33619482*F74)
+(-41243.14883*G74)
+(3508.399163*H74)
+(3062.210286*I74)
+(-3438.10791*J74)
+(15157.28728*K74)
+(12509.46131*L74)
+(-15342.70531*M74)
+(-4201.853217*N74)
+(-25291.41891*O74)
+(32832.85351*P74)
+(20219.25907*Q74)
+(44695.0949*R74)</f>
        <v>728163.76562472386</v>
      </c>
      <c r="V74">
        <f>T74-U74</f>
        <v>29974.524375276174</v>
      </c>
    </row>
    <row r="75" spans="1:22">
      <c r="A75" s="2" t="s">
        <v>68</v>
      </c>
      <c r="B75" s="3">
        <v>45689</v>
      </c>
      <c r="C75" s="2" t="s">
        <v>20</v>
      </c>
      <c r="D75" s="2" t="s">
        <v>18</v>
      </c>
      <c r="E75" s="2">
        <v>57147.88</v>
      </c>
      <c r="F75" s="2">
        <v>5252</v>
      </c>
      <c r="G75" s="2">
        <v>0.161</v>
      </c>
      <c r="H75" s="2">
        <v>15</v>
      </c>
      <c r="I75" s="2">
        <v>95.5</v>
      </c>
      <c r="J75" s="2">
        <v>8.51</v>
      </c>
      <c r="K75" s="2">
        <v>0</v>
      </c>
      <c r="L75" s="2">
        <v>4.4000000000000004</v>
      </c>
      <c r="M75" s="5">
        <f>IF(C75="North",1,0)</f>
        <v>1</v>
      </c>
      <c r="N75" s="5">
        <f>IF(C75="South",1,0)</f>
        <v>0</v>
      </c>
      <c r="O75" s="5">
        <f>IF(C75="East",1,0)</f>
        <v>0</v>
      </c>
      <c r="P75" s="5">
        <f>IF(D75="Mall",1,0)</f>
        <v>0</v>
      </c>
      <c r="Q75" s="5">
        <f>IF(D75="High Street",1,0)</f>
        <v>1</v>
      </c>
      <c r="R75" s="5">
        <f>IF(D75="Airport",1,0)</f>
        <v>0</v>
      </c>
      <c r="S75" s="2">
        <v>132029.76000000001</v>
      </c>
      <c r="T75" s="2">
        <v>678311.17</v>
      </c>
      <c r="U75" s="12">
        <f>66915.46892
+(1.209928492*E75)
+(27.33619482*F75)
+(-41243.14883*G75)
+(3508.399163*H75)
+(3062.210286*I75)
+(-3438.10791*J75)
+(15157.28728*K75)
+(12509.46131*L75)
+(-15342.70531*M75)
+(-4201.853217*N75)
+(-25291.41891*O75)
+(32832.85351*P75)
+(20219.25907*Q75)
+(44695.0949*R75)</f>
        <v>648716.82039030688</v>
      </c>
      <c r="V75">
        <f>T75-U75</f>
        <v>29594.349609693163</v>
      </c>
    </row>
    <row r="76" spans="1:22">
      <c r="A76" s="2" t="s">
        <v>34</v>
      </c>
      <c r="B76" s="3">
        <v>45748</v>
      </c>
      <c r="C76" s="2" t="s">
        <v>20</v>
      </c>
      <c r="D76" s="2" t="s">
        <v>28</v>
      </c>
      <c r="E76" s="2">
        <v>65312.49</v>
      </c>
      <c r="F76" s="2">
        <v>7189</v>
      </c>
      <c r="G76" s="2">
        <v>0.05</v>
      </c>
      <c r="H76" s="2">
        <v>19</v>
      </c>
      <c r="I76" s="2">
        <v>93.7</v>
      </c>
      <c r="J76" s="2">
        <v>7.16</v>
      </c>
      <c r="K76" s="2">
        <v>0</v>
      </c>
      <c r="L76" s="2">
        <v>4.5999999999999996</v>
      </c>
      <c r="M76" s="5">
        <f>IF(C76="North",1,0)</f>
        <v>1</v>
      </c>
      <c r="N76" s="5">
        <f>IF(C76="South",1,0)</f>
        <v>0</v>
      </c>
      <c r="O76" s="5">
        <f>IF(C76="East",1,0)</f>
        <v>0</v>
      </c>
      <c r="P76" s="5">
        <f>IF(D76="Mall",1,0)</f>
        <v>1</v>
      </c>
      <c r="Q76" s="5">
        <f>IF(D76="High Street",1,0)</f>
        <v>0</v>
      </c>
      <c r="R76" s="5">
        <f>IF(D76="Airport",1,0)</f>
        <v>0</v>
      </c>
      <c r="S76" s="2">
        <v>133948.39000000001</v>
      </c>
      <c r="T76" s="2">
        <v>773815.14</v>
      </c>
      <c r="U76" s="12">
        <f>66915.46892
+(1.209928492*E76)
+(27.33619482*F76)
+(-41243.14883*G76)
+(3508.399163*H76)
+(3062.210286*I76)
+(-3438.10791*J76)
+(15157.28728*K76)
+(12509.46131*L76)
+(-15342.70531*M76)
+(-4201.853217*N76)
+(-25291.41891*O76)
+(32832.85351*P76)
+(20219.25907*Q76)
+(44695.0949*R76)</f>
        <v>744402.16405954503</v>
      </c>
      <c r="V76">
        <f>T76-U76</f>
        <v>29412.975940454984</v>
      </c>
    </row>
    <row r="77" spans="1:22">
      <c r="A77" s="2" t="s">
        <v>88</v>
      </c>
      <c r="B77" s="3">
        <v>45689</v>
      </c>
      <c r="C77" s="2" t="s">
        <v>15</v>
      </c>
      <c r="D77" s="2" t="s">
        <v>18</v>
      </c>
      <c r="E77" s="2">
        <v>73454.539999999994</v>
      </c>
      <c r="F77" s="2">
        <v>8129</v>
      </c>
      <c r="G77" s="2">
        <v>0.21099999999999999</v>
      </c>
      <c r="H77" s="2">
        <v>20</v>
      </c>
      <c r="I77" s="2">
        <v>85.2</v>
      </c>
      <c r="J77" s="2">
        <v>0.88</v>
      </c>
      <c r="K77" s="2">
        <v>0</v>
      </c>
      <c r="L77" s="2">
        <v>3.7</v>
      </c>
      <c r="M77" s="5">
        <f>IF(C77="North",1,0)</f>
        <v>0</v>
      </c>
      <c r="N77" s="5">
        <f>IF(C77="South",1,0)</f>
        <v>0</v>
      </c>
      <c r="O77" s="5">
        <f>IF(C77="East",1,0)</f>
        <v>1</v>
      </c>
      <c r="P77" s="5">
        <f>IF(D77="Mall",1,0)</f>
        <v>0</v>
      </c>
      <c r="Q77" s="5">
        <f>IF(D77="High Street",1,0)</f>
        <v>1</v>
      </c>
      <c r="R77" s="5">
        <f>IF(D77="Airport",1,0)</f>
        <v>0</v>
      </c>
      <c r="S77" s="2">
        <v>96235.77</v>
      </c>
      <c r="T77" s="2">
        <v>767792.94</v>
      </c>
      <c r="U77" s="12">
        <f>66915.46892
+(1.209928492*E77)
+(27.33619482*F77)
+(-41243.14883*G77)
+(3508.399163*H77)
+(3062.210286*I77)
+(-3438.10791*J77)
+(15157.28728*K77)
+(12509.46131*L77)
+(-15342.70531*M77)
+(-4201.853217*N77)
+(-25291.41891*O77)
+(32832.85351*P77)
+(20219.25907*Q77)
+(44695.0949*R77)</f>
        <v>738559.44469480379</v>
      </c>
      <c r="V77">
        <f>T77-U77</f>
        <v>29233.495305196149</v>
      </c>
    </row>
    <row r="78" spans="1:22">
      <c r="A78" s="2" t="s">
        <v>74</v>
      </c>
      <c r="B78" s="3">
        <v>45748</v>
      </c>
      <c r="C78" s="2" t="s">
        <v>15</v>
      </c>
      <c r="D78" s="2" t="s">
        <v>18</v>
      </c>
      <c r="E78" s="2">
        <v>49405.75</v>
      </c>
      <c r="F78" s="2">
        <v>9752</v>
      </c>
      <c r="G78" s="2">
        <v>9.2999999999999999E-2</v>
      </c>
      <c r="H78" s="2">
        <v>21</v>
      </c>
      <c r="I78" s="2">
        <v>87</v>
      </c>
      <c r="J78" s="2">
        <v>12.28</v>
      </c>
      <c r="K78" s="2">
        <v>0</v>
      </c>
      <c r="L78" s="2">
        <v>4.0999999999999996</v>
      </c>
      <c r="M78" s="5">
        <f>IF(C78="North",1,0)</f>
        <v>0</v>
      </c>
      <c r="N78" s="5">
        <f>IF(C78="South",1,0)</f>
        <v>0</v>
      </c>
      <c r="O78" s="5">
        <f>IF(C78="East",1,0)</f>
        <v>1</v>
      </c>
      <c r="P78" s="5">
        <f>IF(D78="Mall",1,0)</f>
        <v>0</v>
      </c>
      <c r="Q78" s="5">
        <f>IF(D78="High Street",1,0)</f>
        <v>1</v>
      </c>
      <c r="R78" s="5">
        <f>IF(D78="Airport",1,0)</f>
        <v>0</v>
      </c>
      <c r="S78" s="2">
        <v>150113.60999999999</v>
      </c>
      <c r="T78" s="2">
        <v>761963.23</v>
      </c>
      <c r="U78" s="12">
        <f>66915.46892
+(1.209928492*E78)
+(27.33619482*F78)
+(-41243.14883*G78)
+(3508.399163*H78)
+(3062.210286*I78)
+(-3438.10791*J78)
+(15157.28728*K78)
+(12509.46131*L78)
+(-15342.70531*M78)
+(-4201.853217*N78)
+(-25291.41891*O78)
+(32832.85351*P78)
+(20219.25907*Q78)
+(44695.0949*R78)</f>
        <v>733525.19625827903</v>
      </c>
      <c r="V78">
        <f>T78-U78</f>
        <v>28438.033741720952</v>
      </c>
    </row>
    <row r="79" spans="1:22">
      <c r="A79" s="2" t="s">
        <v>39</v>
      </c>
      <c r="B79" s="3">
        <v>45717</v>
      </c>
      <c r="C79" s="2" t="s">
        <v>15</v>
      </c>
      <c r="D79" s="2" t="s">
        <v>18</v>
      </c>
      <c r="E79" s="2">
        <v>60571.82</v>
      </c>
      <c r="F79" s="2">
        <v>3193</v>
      </c>
      <c r="G79" s="2">
        <v>0.19700000000000001</v>
      </c>
      <c r="H79" s="2">
        <v>7</v>
      </c>
      <c r="I79" s="2">
        <v>99</v>
      </c>
      <c r="J79" s="2">
        <v>1.43</v>
      </c>
      <c r="K79" s="2">
        <v>0</v>
      </c>
      <c r="L79" s="2">
        <v>3.2</v>
      </c>
      <c r="M79" s="5">
        <f>IF(C79="North",1,0)</f>
        <v>0</v>
      </c>
      <c r="N79" s="5">
        <f>IF(C79="South",1,0)</f>
        <v>0</v>
      </c>
      <c r="O79" s="5">
        <f>IF(C79="East",1,0)</f>
        <v>1</v>
      </c>
      <c r="P79" s="5">
        <f>IF(D79="Mall",1,0)</f>
        <v>0</v>
      </c>
      <c r="Q79" s="5">
        <f>IF(D79="High Street",1,0)</f>
        <v>1</v>
      </c>
      <c r="R79" s="5">
        <f>IF(D79="Airport",1,0)</f>
        <v>0</v>
      </c>
      <c r="S79" s="2">
        <v>98545.81</v>
      </c>
      <c r="T79" s="2">
        <v>605023.87</v>
      </c>
      <c r="U79" s="12">
        <f>66915.46892
+(1.209928492*E79)
+(27.33619482*F79)
+(-41243.14883*G79)
+(3508.399163*H79)
+(3062.210286*I79)
+(-3438.10791*J79)
+(15157.28728*K79)
+(12509.46131*L79)
+(-15342.70531*M79)
+(-4201.853217*N79)
+(-25291.41891*O79)
+(32832.85351*P79)
+(20219.25907*Q79)
+(44695.0949*R79)</f>
        <v>577121.84398674546</v>
      </c>
      <c r="V79">
        <f>T79-U79</f>
        <v>27902.026013254537</v>
      </c>
    </row>
    <row r="80" spans="1:22">
      <c r="A80" s="2" t="s">
        <v>100</v>
      </c>
      <c r="B80" s="3">
        <v>45658</v>
      </c>
      <c r="C80" s="2" t="s">
        <v>20</v>
      </c>
      <c r="D80" s="2" t="s">
        <v>16</v>
      </c>
      <c r="E80" s="2">
        <v>78967.520000000004</v>
      </c>
      <c r="F80" s="2">
        <v>6164</v>
      </c>
      <c r="G80" s="2">
        <v>2.1000000000000001E-2</v>
      </c>
      <c r="H80" s="2">
        <v>16</v>
      </c>
      <c r="I80" s="2">
        <v>85.5</v>
      </c>
      <c r="J80" s="2">
        <v>0.2</v>
      </c>
      <c r="K80" s="2">
        <v>0</v>
      </c>
      <c r="L80" s="2">
        <v>3.4</v>
      </c>
      <c r="M80" s="5">
        <f>IF(C80="North",1,0)</f>
        <v>1</v>
      </c>
      <c r="N80" s="5">
        <f>IF(C80="South",1,0)</f>
        <v>0</v>
      </c>
      <c r="O80" s="5">
        <f>IF(C80="East",1,0)</f>
        <v>0</v>
      </c>
      <c r="P80" s="5">
        <f>IF(D80="Mall",1,0)</f>
        <v>0</v>
      </c>
      <c r="Q80" s="5">
        <f>IF(D80="High Street",1,0)</f>
        <v>0</v>
      </c>
      <c r="R80" s="5">
        <f>IF(D80="Airport",1,0)</f>
        <v>0</v>
      </c>
      <c r="S80" s="2">
        <v>121732.51</v>
      </c>
      <c r="T80" s="2">
        <v>702052.47</v>
      </c>
      <c r="U80" s="12">
        <f>66915.46892
+(1.209928492*E80)
+(27.33619482*F80)
+(-41243.14883*G80)
+(3508.399163*H80)
+(3062.210286*I80)
+(-3438.10791*J80)
+(15157.28728*K80)
+(12509.46131*L80)
+(-15342.70531*M80)
+(-4201.853217*N80)
+(-25291.41891*O80)
+(32832.85351*P80)
+(20219.25907*Q80)
+(44695.0949*R80)</f>
        <v>674549.92767862987</v>
      </c>
      <c r="V80">
        <f>T80-U80</f>
        <v>27502.5423213701</v>
      </c>
    </row>
    <row r="81" spans="1:22">
      <c r="A81" s="2" t="s">
        <v>47</v>
      </c>
      <c r="B81" s="3">
        <v>45658</v>
      </c>
      <c r="C81" s="2" t="s">
        <v>15</v>
      </c>
      <c r="D81" s="2" t="s">
        <v>28</v>
      </c>
      <c r="E81" s="2">
        <v>53084.76</v>
      </c>
      <c r="F81" s="2">
        <v>3642</v>
      </c>
      <c r="G81" s="2">
        <v>0.15</v>
      </c>
      <c r="H81" s="2">
        <v>12</v>
      </c>
      <c r="I81" s="2">
        <v>91.4</v>
      </c>
      <c r="J81" s="2">
        <v>0.2</v>
      </c>
      <c r="K81" s="2">
        <v>0</v>
      </c>
      <c r="L81" s="2">
        <v>4.4000000000000004</v>
      </c>
      <c r="M81" s="5">
        <f>IF(C81="North",1,0)</f>
        <v>0</v>
      </c>
      <c r="N81" s="5">
        <f>IF(C81="South",1,0)</f>
        <v>0</v>
      </c>
      <c r="O81" s="5">
        <f>IF(C81="East",1,0)</f>
        <v>1</v>
      </c>
      <c r="P81" s="5">
        <f>IF(D81="Mall",1,0)</f>
        <v>1</v>
      </c>
      <c r="Q81" s="5">
        <f>IF(D81="High Street",1,0)</f>
        <v>0</v>
      </c>
      <c r="R81" s="5">
        <f>IF(D81="Airport",1,0)</f>
        <v>0</v>
      </c>
      <c r="S81" s="2">
        <v>83341.25</v>
      </c>
      <c r="T81" s="2">
        <v>635181.35</v>
      </c>
      <c r="U81" s="12">
        <f>66915.46892
+(1.209928492*E81)
+(27.33619482*F81)
+(-41243.14883*G81)
+(3508.399163*H81)
+(3062.210286*I81)
+(-3438.10791*J81)
+(15157.28728*K81)
+(12509.46131*L81)
+(-15342.70531*M81)
+(-4201.853217*N81)
+(-25291.41891*O81)
+(32832.85351*P81)
+(20219.25907*Q81)
+(44695.0949*R81)</f>
        <v>608398.43462332198</v>
      </c>
      <c r="V81">
        <f>T81-U81</f>
        <v>26782.915376677993</v>
      </c>
    </row>
    <row r="82" spans="1:22">
      <c r="A82" s="2" t="s">
        <v>76</v>
      </c>
      <c r="B82" s="3">
        <v>45717</v>
      </c>
      <c r="C82" s="2" t="s">
        <v>20</v>
      </c>
      <c r="D82" s="2" t="s">
        <v>21</v>
      </c>
      <c r="E82" s="2">
        <v>58785.33</v>
      </c>
      <c r="F82" s="2">
        <v>4467</v>
      </c>
      <c r="G82" s="2">
        <v>0.22900000000000001</v>
      </c>
      <c r="H82" s="2">
        <v>14</v>
      </c>
      <c r="I82" s="2">
        <v>90.7</v>
      </c>
      <c r="J82" s="2">
        <v>1.92</v>
      </c>
      <c r="K82" s="2">
        <v>0</v>
      </c>
      <c r="L82" s="2">
        <v>3.7</v>
      </c>
      <c r="M82" s="5">
        <f>IF(C82="North",1,0)</f>
        <v>1</v>
      </c>
      <c r="N82" s="5">
        <f>IF(C82="South",1,0)</f>
        <v>0</v>
      </c>
      <c r="O82" s="5">
        <f>IF(C82="East",1,0)</f>
        <v>0</v>
      </c>
      <c r="P82" s="5">
        <f>IF(D82="Mall",1,0)</f>
        <v>0</v>
      </c>
      <c r="Q82" s="5">
        <f>IF(D82="High Street",1,0)</f>
        <v>0</v>
      </c>
      <c r="R82" s="5">
        <f>IF(D82="Airport",1,0)</f>
        <v>1</v>
      </c>
      <c r="S82" s="2">
        <v>69464.59</v>
      </c>
      <c r="T82" s="2">
        <v>673348.56</v>
      </c>
      <c r="U82" s="12">
        <f>66915.46892
+(1.209928492*E82)
+(27.33619482*F82)
+(-41243.14883*G82)
+(3508.399163*H82)
+(3062.210286*I82)
+(-3438.10791*J82)
+(15157.28728*K82)
+(12509.46131*L82)
+(-15342.70531*M82)
+(-4201.853217*N82)
+(-25291.41891*O82)
+(32832.85351*P82)
+(20219.25907*Q82)
+(44695.0949*R82)</f>
        <v>646603.90624949231</v>
      </c>
      <c r="V82">
        <f>T82-U82</f>
        <v>26744.653750507743</v>
      </c>
    </row>
    <row r="83" spans="1:22">
      <c r="A83" s="2" t="s">
        <v>100</v>
      </c>
      <c r="B83" s="3">
        <v>45717</v>
      </c>
      <c r="C83" s="2" t="s">
        <v>20</v>
      </c>
      <c r="D83" s="2" t="s">
        <v>16</v>
      </c>
      <c r="E83" s="2">
        <v>62507.16</v>
      </c>
      <c r="F83" s="2">
        <v>6000</v>
      </c>
      <c r="G83" s="2">
        <v>9.0999999999999998E-2</v>
      </c>
      <c r="H83" s="2">
        <v>14</v>
      </c>
      <c r="I83" s="2">
        <v>98.2</v>
      </c>
      <c r="J83" s="2">
        <v>4.38</v>
      </c>
      <c r="K83" s="2">
        <v>1</v>
      </c>
      <c r="L83" s="2">
        <v>3.9</v>
      </c>
      <c r="M83" s="5">
        <f>IF(C83="North",1,0)</f>
        <v>1</v>
      </c>
      <c r="N83" s="5">
        <f>IF(C83="South",1,0)</f>
        <v>0</v>
      </c>
      <c r="O83" s="5">
        <f>IF(C83="East",1,0)</f>
        <v>0</v>
      </c>
      <c r="P83" s="5">
        <f>IF(D83="Mall",1,0)</f>
        <v>0</v>
      </c>
      <c r="Q83" s="5">
        <f>IF(D83="High Street",1,0)</f>
        <v>0</v>
      </c>
      <c r="R83" s="5">
        <f>IF(D83="Airport",1,0)</f>
        <v>0</v>
      </c>
      <c r="S83" s="2">
        <v>104171.53</v>
      </c>
      <c r="T83" s="2">
        <v>712375.77</v>
      </c>
      <c r="U83" s="12">
        <f>66915.46892
+(1.209928492*E83)
+(27.33619482*F83)
+(-41243.14883*G83)
+(3508.399163*H83)
+(3062.210286*I83)
+(-3438.10791*J83)
+(15157.28728*K83)
+(12509.46131*L83)
+(-15342.70531*M83)
+(-4201.853217*N83)
+(-25291.41891*O83)
+(32832.85351*P83)
+(20219.25907*Q83)
+(44695.0949*R83)</f>
        <v>686177.91193487274</v>
      </c>
      <c r="V83">
        <f>T83-U83</f>
        <v>26197.858065127279</v>
      </c>
    </row>
    <row r="84" spans="1:22">
      <c r="A84" s="2" t="s">
        <v>76</v>
      </c>
      <c r="B84" s="3">
        <v>45658</v>
      </c>
      <c r="C84" s="2" t="s">
        <v>20</v>
      </c>
      <c r="D84" s="2" t="s">
        <v>21</v>
      </c>
      <c r="E84" s="2">
        <v>69180.539999999994</v>
      </c>
      <c r="F84" s="2">
        <v>5394</v>
      </c>
      <c r="G84" s="2">
        <v>0.126</v>
      </c>
      <c r="H84" s="2">
        <v>12</v>
      </c>
      <c r="I84" s="2">
        <v>82.9</v>
      </c>
      <c r="J84" s="2">
        <v>3.27</v>
      </c>
      <c r="K84" s="2">
        <v>0</v>
      </c>
      <c r="L84" s="2">
        <v>3.3</v>
      </c>
      <c r="M84" s="5">
        <f>IF(C84="North",1,0)</f>
        <v>1</v>
      </c>
      <c r="N84" s="5">
        <f>IF(C84="South",1,0)</f>
        <v>0</v>
      </c>
      <c r="O84" s="5">
        <f>IF(C84="East",1,0)</f>
        <v>0</v>
      </c>
      <c r="P84" s="5">
        <f>IF(D84="Mall",1,0)</f>
        <v>0</v>
      </c>
      <c r="Q84" s="5">
        <f>IF(D84="High Street",1,0)</f>
        <v>0</v>
      </c>
      <c r="R84" s="5">
        <f>IF(D84="Airport",1,0)</f>
        <v>1</v>
      </c>
      <c r="S84" s="2">
        <v>117773.79</v>
      </c>
      <c r="T84" s="2">
        <v>674289.1</v>
      </c>
      <c r="U84" s="12">
        <f>66915.46892
+(1.209928492*E84)
+(27.33619482*F84)
+(-41243.14883*G84)
+(3508.399163*H84)
+(3062.210286*I84)
+(-3438.10791*J84)
+(15157.28728*K84)
+(12509.46131*L84)
+(-15342.70531*M84)
+(-4201.853217*N84)
+(-25291.41891*O84)
+(32832.85351*P84)
+(20219.25907*Q84)
+(44695.0949*R84)</f>
        <v>648222.79517714563</v>
      </c>
      <c r="V84">
        <f>T84-U84</f>
        <v>26066.304822854348</v>
      </c>
    </row>
    <row r="85" spans="1:22">
      <c r="A85" s="2" t="s">
        <v>29</v>
      </c>
      <c r="B85" s="3">
        <v>45689</v>
      </c>
      <c r="C85" s="2" t="s">
        <v>15</v>
      </c>
      <c r="D85" s="2" t="s">
        <v>16</v>
      </c>
      <c r="E85" s="2">
        <v>63176.73</v>
      </c>
      <c r="F85" s="2">
        <v>2390</v>
      </c>
      <c r="G85" s="2">
        <v>0.216</v>
      </c>
      <c r="H85" s="2">
        <v>9</v>
      </c>
      <c r="I85" s="2">
        <v>87.5</v>
      </c>
      <c r="J85" s="2">
        <v>0.31</v>
      </c>
      <c r="K85" s="2">
        <v>0</v>
      </c>
      <c r="L85" s="2">
        <v>3.1</v>
      </c>
      <c r="M85" s="5">
        <f>IF(C85="North",1,0)</f>
        <v>0</v>
      </c>
      <c r="N85" s="5">
        <f>IF(C85="South",1,0)</f>
        <v>0</v>
      </c>
      <c r="O85" s="5">
        <f>IF(C85="East",1,0)</f>
        <v>1</v>
      </c>
      <c r="P85" s="5">
        <f>IF(D85="Mall",1,0)</f>
        <v>0</v>
      </c>
      <c r="Q85" s="5">
        <f>IF(D85="High Street",1,0)</f>
        <v>0</v>
      </c>
      <c r="R85" s="5">
        <f>IF(D85="Airport",1,0)</f>
        <v>0</v>
      </c>
      <c r="S85" s="2">
        <v>63773.27</v>
      </c>
      <c r="T85" s="2">
        <v>537383.79</v>
      </c>
      <c r="U85" s="12">
        <f>66915.46892
+(1.209928492*E85)
+(27.33619482*F85)
+(-41243.14883*G85)
+(3508.399163*H85)
+(3062.210286*I85)
+(-3438.10791*J85)
+(15157.28728*K85)
+(12509.46131*L85)
+(-15342.70531*M85)
+(-4201.853217*N85)
+(-25291.41891*O85)
+(32832.85351*P85)
+(20219.25907*Q85)
+(44695.0949*R85)</f>
        <v>511720.87024181115</v>
      </c>
      <c r="V85">
        <f>T85-U85</f>
        <v>25662.919758188887</v>
      </c>
    </row>
    <row r="86" spans="1:22">
      <c r="A86" s="2" t="s">
        <v>86</v>
      </c>
      <c r="B86" s="3">
        <v>45748</v>
      </c>
      <c r="C86" s="2" t="s">
        <v>24</v>
      </c>
      <c r="D86" s="2" t="s">
        <v>28</v>
      </c>
      <c r="E86" s="2">
        <v>38397.82</v>
      </c>
      <c r="F86" s="2">
        <v>7836</v>
      </c>
      <c r="G86" s="2">
        <v>7.0000000000000001E-3</v>
      </c>
      <c r="H86" s="2">
        <v>21</v>
      </c>
      <c r="I86" s="2">
        <v>92.2</v>
      </c>
      <c r="J86" s="2">
        <v>1.82</v>
      </c>
      <c r="K86" s="2">
        <v>0</v>
      </c>
      <c r="L86" s="2">
        <v>3.6</v>
      </c>
      <c r="M86" s="5">
        <f>IF(C86="North",1,0)</f>
        <v>0</v>
      </c>
      <c r="N86" s="5">
        <f>IF(C86="South",1,0)</f>
        <v>1</v>
      </c>
      <c r="O86" s="5">
        <f>IF(C86="East",1,0)</f>
        <v>0</v>
      </c>
      <c r="P86" s="5">
        <f>IF(D86="Mall",1,0)</f>
        <v>1</v>
      </c>
      <c r="Q86" s="5">
        <f>IF(D86="High Street",1,0)</f>
        <v>0</v>
      </c>
      <c r="R86" s="5">
        <f>IF(D86="Airport",1,0)</f>
        <v>0</v>
      </c>
      <c r="S86" s="2">
        <v>139676.21</v>
      </c>
      <c r="T86" s="2">
        <v>776110.32</v>
      </c>
      <c r="U86" s="12">
        <f>66915.46892
+(1.209928492*E86)
+(27.33619482*F86)
+(-41243.14883*G86)
+(3508.399163*H86)
+(3062.210286*I86)
+(-3438.10791*J86)
+(15157.28728*K86)
+(12509.46131*L86)
+(-15342.70531*M86)
+(-4201.853217*N86)
+(-25291.41891*O86)
+(32832.85351*P86)
+(20219.25907*Q86)
+(44695.0949*R86)</f>
        <v>750711.68134139746</v>
      </c>
      <c r="V86">
        <f>T86-U86</f>
        <v>25398.638658602489</v>
      </c>
    </row>
    <row r="87" spans="1:22">
      <c r="A87" s="2" t="s">
        <v>22</v>
      </c>
      <c r="B87" s="3">
        <v>45748</v>
      </c>
      <c r="C87" s="2" t="s">
        <v>15</v>
      </c>
      <c r="D87" s="2" t="s">
        <v>16</v>
      </c>
      <c r="E87" s="2">
        <v>75305.710000000006</v>
      </c>
      <c r="F87" s="2">
        <v>10940</v>
      </c>
      <c r="G87" s="2">
        <v>6.0000000000000001E-3</v>
      </c>
      <c r="H87" s="2">
        <v>26</v>
      </c>
      <c r="I87" s="2">
        <v>76.5</v>
      </c>
      <c r="J87" s="2">
        <v>1.32</v>
      </c>
      <c r="K87" s="2">
        <v>0</v>
      </c>
      <c r="L87" s="2">
        <v>4.5</v>
      </c>
      <c r="M87" s="5">
        <f>IF(C87="North",1,0)</f>
        <v>0</v>
      </c>
      <c r="N87" s="5">
        <f>IF(C87="South",1,0)</f>
        <v>0</v>
      </c>
      <c r="O87" s="5">
        <f>IF(C87="East",1,0)</f>
        <v>1</v>
      </c>
      <c r="P87" s="5">
        <f>IF(D87="Mall",1,0)</f>
        <v>0</v>
      </c>
      <c r="Q87" s="5">
        <f>IF(D87="High Street",1,0)</f>
        <v>0</v>
      </c>
      <c r="R87" s="5">
        <f>IF(D87="Airport",1,0)</f>
        <v>0</v>
      </c>
      <c r="S87" s="2">
        <v>114745.03</v>
      </c>
      <c r="T87" s="2">
        <v>834017.02</v>
      </c>
      <c r="U87" s="12">
        <f>66915.46892
+(1.209928492*E87)
+(27.33619482*F87)
+(-41243.14883*G87)
+(3508.399163*H87)
+(3062.210286*I87)
+(-3438.10791*J87)
+(15157.28728*K87)
+(12509.46131*L87)
+(-15342.70531*M87)
+(-4201.853217*N87)
+(-25291.41891*O87)
+(32832.85351*P87)
+(20219.25907*Q87)
+(44695.0949*R87)</f>
        <v>808780.82515790919</v>
      </c>
      <c r="V87">
        <f>T87-U87</f>
        <v>25236.19484209083</v>
      </c>
    </row>
    <row r="88" spans="1:22">
      <c r="A88" s="2" t="s">
        <v>33</v>
      </c>
      <c r="B88" s="3">
        <v>45717</v>
      </c>
      <c r="C88" s="2" t="s">
        <v>27</v>
      </c>
      <c r="D88" s="2" t="s">
        <v>16</v>
      </c>
      <c r="E88" s="2">
        <v>50043.65</v>
      </c>
      <c r="F88" s="2">
        <v>3804</v>
      </c>
      <c r="G88" s="2">
        <v>0.113</v>
      </c>
      <c r="H88" s="2">
        <v>11</v>
      </c>
      <c r="I88" s="2">
        <v>90.9</v>
      </c>
      <c r="J88" s="2">
        <v>2.7</v>
      </c>
      <c r="K88" s="2">
        <v>1</v>
      </c>
      <c r="L88" s="2">
        <v>3.2</v>
      </c>
      <c r="M88" s="5">
        <f>IF(C88="North",1,0)</f>
        <v>0</v>
      </c>
      <c r="N88" s="5">
        <f>IF(C88="South",1,0)</f>
        <v>0</v>
      </c>
      <c r="O88" s="5">
        <f>IF(C88="East",1,0)</f>
        <v>0</v>
      </c>
      <c r="P88" s="5">
        <f>IF(D88="Mall",1,0)</f>
        <v>0</v>
      </c>
      <c r="Q88" s="5">
        <f>IF(D88="High Street",1,0)</f>
        <v>0</v>
      </c>
      <c r="R88" s="5">
        <f>IF(D88="Airport",1,0)</f>
        <v>0</v>
      </c>
      <c r="S88" s="2">
        <v>100044.2</v>
      </c>
      <c r="T88" s="2">
        <v>614800.09</v>
      </c>
      <c r="U88" s="12">
        <f>66915.46892
+(1.209928492*E88)
+(27.33619482*F88)
+(-41243.14883*G88)
+(3508.399163*H88)
+(3062.210286*I88)
+(-3438.10791*J88)
+(15157.28728*K88)
+(12509.46131*L88)
+(-15342.70531*M88)
+(-4201.853217*N88)
+(-25291.41891*O88)
+(32832.85351*P88)
+(20219.25907*Q88)
+(44695.0949*R88)</f>
        <v>589643.09408156585</v>
      </c>
      <c r="V88">
        <f>T88-U88</f>
        <v>25156.995918434113</v>
      </c>
    </row>
    <row r="89" spans="1:22">
      <c r="A89" s="2" t="s">
        <v>34</v>
      </c>
      <c r="B89" s="3">
        <v>45717</v>
      </c>
      <c r="C89" s="2" t="s">
        <v>20</v>
      </c>
      <c r="D89" s="2" t="s">
        <v>28</v>
      </c>
      <c r="E89" s="2">
        <v>48287.85</v>
      </c>
      <c r="F89" s="2">
        <v>5150</v>
      </c>
      <c r="G89" s="2">
        <v>8.0000000000000002E-3</v>
      </c>
      <c r="H89" s="2">
        <v>12</v>
      </c>
      <c r="I89" s="2">
        <v>80.400000000000006</v>
      </c>
      <c r="J89" s="2">
        <v>7.4</v>
      </c>
      <c r="K89" s="2">
        <v>0</v>
      </c>
      <c r="L89" s="2">
        <v>4.5</v>
      </c>
      <c r="M89" s="5">
        <f>IF(C89="North",1,0)</f>
        <v>1</v>
      </c>
      <c r="N89" s="5">
        <f>IF(C89="South",1,0)</f>
        <v>0</v>
      </c>
      <c r="O89" s="5">
        <f>IF(C89="East",1,0)</f>
        <v>0</v>
      </c>
      <c r="P89" s="5">
        <f>IF(D89="Mall",1,0)</f>
        <v>1</v>
      </c>
      <c r="Q89" s="5">
        <f>IF(D89="High Street",1,0)</f>
        <v>0</v>
      </c>
      <c r="R89" s="5">
        <f>IF(D89="Airport",1,0)</f>
        <v>0</v>
      </c>
      <c r="S89" s="2">
        <v>118020.12</v>
      </c>
      <c r="T89" s="2">
        <v>625672.86</v>
      </c>
      <c r="U89" s="12">
        <f>66915.46892
+(1.209928492*E89)
+(27.33619482*F89)
+(-41243.14883*G89)
+(3508.399163*H89)
+(3062.210286*I89)
+(-3438.10791*J89)
+(15157.28728*K89)
+(12509.46131*L89)
+(-15342.70531*M89)
+(-4201.853217*N89)
+(-25291.41891*O89)
+(32832.85351*P89)
+(20219.25907*Q89)
+(44695.0949*R89)</f>
        <v>602434.99509618233</v>
      </c>
      <c r="V89">
        <f>T89-U89</f>
        <v>23237.864903817652</v>
      </c>
    </row>
    <row r="90" spans="1:22">
      <c r="A90" s="2" t="s">
        <v>34</v>
      </c>
      <c r="B90" s="3">
        <v>45689</v>
      </c>
      <c r="C90" s="2" t="s">
        <v>20</v>
      </c>
      <c r="D90" s="2" t="s">
        <v>28</v>
      </c>
      <c r="E90" s="2">
        <v>49710.29</v>
      </c>
      <c r="F90" s="2">
        <v>5559</v>
      </c>
      <c r="G90" s="2">
        <v>0.218</v>
      </c>
      <c r="H90" s="2">
        <v>14</v>
      </c>
      <c r="I90" s="2">
        <v>71</v>
      </c>
      <c r="J90" s="2">
        <v>9.11</v>
      </c>
      <c r="K90" s="2">
        <v>0</v>
      </c>
      <c r="L90" s="2">
        <v>4.5999999999999996</v>
      </c>
      <c r="M90" s="5">
        <f>IF(C90="North",1,0)</f>
        <v>1</v>
      </c>
      <c r="N90" s="5">
        <f>IF(C90="South",1,0)</f>
        <v>0</v>
      </c>
      <c r="O90" s="5">
        <f>IF(C90="East",1,0)</f>
        <v>0</v>
      </c>
      <c r="P90" s="5">
        <f>IF(D90="Mall",1,0)</f>
        <v>1</v>
      </c>
      <c r="Q90" s="5">
        <f>IF(D90="High Street",1,0)</f>
        <v>0</v>
      </c>
      <c r="R90" s="5">
        <f>IF(D90="Airport",1,0)</f>
        <v>0</v>
      </c>
      <c r="S90" s="2">
        <v>60592.26</v>
      </c>
      <c r="T90" s="2">
        <v>603297.56999999995</v>
      </c>
      <c r="U90" s="12">
        <f>66915.46892
+(1.209928492*E90)
+(27.33619482*F90)
+(-41243.14883*G90)
+(3508.399163*H90)
+(3062.210286*I90)
+(-3438.10791*J90)
+(15157.28728*K90)
+(12509.46131*L90)
+(-15342.70531*M90)
+(-4201.853217*N90)
+(-25291.41891*O90)
+(32832.85351*P90)
+(20219.25907*Q90)
+(44695.0949*R90)</f>
        <v>580279.29144992272</v>
      </c>
      <c r="V90">
        <f>T90-U90</f>
        <v>23018.27855007723</v>
      </c>
    </row>
    <row r="91" spans="1:22">
      <c r="A91" s="2" t="s">
        <v>49</v>
      </c>
      <c r="B91" s="3">
        <v>45658</v>
      </c>
      <c r="C91" s="2" t="s">
        <v>15</v>
      </c>
      <c r="D91" s="2" t="s">
        <v>28</v>
      </c>
      <c r="E91" s="2">
        <v>75265.02</v>
      </c>
      <c r="F91" s="2">
        <v>6975</v>
      </c>
      <c r="G91" s="2">
        <v>0.157</v>
      </c>
      <c r="H91" s="2">
        <v>20</v>
      </c>
      <c r="I91" s="2">
        <v>73.8</v>
      </c>
      <c r="J91" s="2">
        <v>6.35</v>
      </c>
      <c r="K91" s="2">
        <v>1</v>
      </c>
      <c r="L91" s="2">
        <v>3.8</v>
      </c>
      <c r="M91" s="5">
        <f>IF(C91="North",1,0)</f>
        <v>0</v>
      </c>
      <c r="N91" s="5">
        <f>IF(C91="South",1,0)</f>
        <v>0</v>
      </c>
      <c r="O91" s="5">
        <f>IF(C91="East",1,0)</f>
        <v>1</v>
      </c>
      <c r="P91" s="5">
        <f>IF(D91="Mall",1,0)</f>
        <v>1</v>
      </c>
      <c r="Q91" s="5">
        <f>IF(D91="High Street",1,0)</f>
        <v>0</v>
      </c>
      <c r="R91" s="5">
        <f>IF(D91="Airport",1,0)</f>
        <v>0</v>
      </c>
      <c r="S91" s="2">
        <v>71294.27</v>
      </c>
      <c r="T91" s="2">
        <v>709478.39</v>
      </c>
      <c r="U91" s="12">
        <f>66915.46892
+(1.209928492*E91)
+(27.33619482*F91)
+(-41243.14883*G91)
+(3508.399163*H91)
+(3062.210286*I91)
+(-3438.10791*J91)
+(15157.28728*K91)
+(12509.46131*L91)
+(-15342.70531*M91)
+(-4201.853217*N91)
+(-25291.41891*O91)
+(32832.85351*P91)
+(20219.25907*Q91)
+(44695.0949*R91)</f>
        <v>686737.33756843989</v>
      </c>
      <c r="V91">
        <f>T91-U91</f>
        <v>22741.052431560121</v>
      </c>
    </row>
    <row r="92" spans="1:22">
      <c r="A92" s="2" t="s">
        <v>35</v>
      </c>
      <c r="B92" s="3">
        <v>45717</v>
      </c>
      <c r="C92" s="2" t="s">
        <v>27</v>
      </c>
      <c r="D92" s="2" t="s">
        <v>18</v>
      </c>
      <c r="E92" s="2">
        <v>81195.5</v>
      </c>
      <c r="F92" s="2">
        <v>5516</v>
      </c>
      <c r="G92" s="2">
        <v>0.106</v>
      </c>
      <c r="H92" s="2">
        <v>14</v>
      </c>
      <c r="I92" s="2">
        <v>88</v>
      </c>
      <c r="J92" s="2">
        <v>1.76</v>
      </c>
      <c r="K92" s="2">
        <v>0</v>
      </c>
      <c r="L92" s="2">
        <v>4.3</v>
      </c>
      <c r="M92" s="5">
        <f>IF(C92="North",1,0)</f>
        <v>0</v>
      </c>
      <c r="N92" s="5">
        <f>IF(C92="South",1,0)</f>
        <v>0</v>
      </c>
      <c r="O92" s="5">
        <f>IF(C92="East",1,0)</f>
        <v>0</v>
      </c>
      <c r="P92" s="5">
        <f>IF(D92="Mall",1,0)</f>
        <v>0</v>
      </c>
      <c r="Q92" s="5">
        <f>IF(D92="High Street",1,0)</f>
        <v>1</v>
      </c>
      <c r="R92" s="5">
        <f>IF(D92="Airport",1,0)</f>
        <v>0</v>
      </c>
      <c r="S92" s="2">
        <v>98565.62</v>
      </c>
      <c r="T92" s="2">
        <v>720852.5</v>
      </c>
      <c r="U92" s="12">
        <f>66915.46892
+(1.209928492*E92)
+(27.33619482*F92)
+(-41243.14883*G92)
+(3508.399163*H92)
+(3062.210286*I92)
+(-3438.10791*J92)
+(15157.28728*K92)
+(12509.46131*L92)
+(-15342.70531*M92)
+(-4201.853217*N92)
+(-25291.41891*O92)
+(32832.85351*P92)
+(20219.25907*Q92)
+(44695.0949*R92)</f>
        <v>698121.86087472609</v>
      </c>
      <c r="V92">
        <f>T92-U92</f>
        <v>22730.639125273912</v>
      </c>
    </row>
    <row r="93" spans="1:22">
      <c r="A93" s="2" t="s">
        <v>50</v>
      </c>
      <c r="B93" s="3">
        <v>45689</v>
      </c>
      <c r="C93" s="2" t="s">
        <v>27</v>
      </c>
      <c r="D93" s="2" t="s">
        <v>28</v>
      </c>
      <c r="E93" s="2">
        <v>80176.34</v>
      </c>
      <c r="F93" s="2">
        <v>9489</v>
      </c>
      <c r="G93" s="2">
        <v>0.14199999999999999</v>
      </c>
      <c r="H93" s="2">
        <v>22</v>
      </c>
      <c r="I93" s="2">
        <v>94.3</v>
      </c>
      <c r="J93" s="2">
        <v>2.67</v>
      </c>
      <c r="K93" s="2">
        <v>0</v>
      </c>
      <c r="L93" s="2">
        <v>3.5</v>
      </c>
      <c r="M93" s="5">
        <f>IF(C93="North",1,0)</f>
        <v>0</v>
      </c>
      <c r="N93" s="5">
        <f>IF(C93="South",1,0)</f>
        <v>0</v>
      </c>
      <c r="O93" s="5">
        <f>IF(C93="East",1,0)</f>
        <v>0</v>
      </c>
      <c r="P93" s="5">
        <f>IF(D93="Mall",1,0)</f>
        <v>1</v>
      </c>
      <c r="Q93" s="5">
        <f>IF(D93="High Street",1,0)</f>
        <v>0</v>
      </c>
      <c r="R93" s="5">
        <f>IF(D93="Airport",1,0)</f>
        <v>0</v>
      </c>
      <c r="S93" s="2">
        <v>149734.76</v>
      </c>
      <c r="T93" s="2">
        <v>873380.02</v>
      </c>
      <c r="U93" s="12">
        <f>66915.46892
+(1.209928492*E93)
+(27.33619482*F93)
+(-41243.14883*G93)
+(3508.399163*H93)
+(3062.210286*I93)
+(-3438.10791*J93)
+(15157.28728*K93)
+(12509.46131*L93)
+(-15342.70531*M93)
+(-4201.853217*N93)
+(-25291.41891*O93)
+(32832.85351*P93)
+(20219.25907*Q93)
+(44695.0949*R93)</f>
        <v>850847.16411449935</v>
      </c>
      <c r="V93">
        <f>T93-U93</f>
        <v>22532.85588550067</v>
      </c>
    </row>
    <row r="94" spans="1:22">
      <c r="A94" s="2" t="s">
        <v>82</v>
      </c>
      <c r="B94" s="3">
        <v>45658</v>
      </c>
      <c r="C94" s="2" t="s">
        <v>24</v>
      </c>
      <c r="D94" s="2" t="s">
        <v>21</v>
      </c>
      <c r="E94" s="2">
        <v>69900.12</v>
      </c>
      <c r="F94" s="2">
        <v>8055</v>
      </c>
      <c r="G94" s="2">
        <v>0.28100000000000003</v>
      </c>
      <c r="H94" s="2">
        <v>22</v>
      </c>
      <c r="I94" s="2">
        <v>85.6</v>
      </c>
      <c r="J94" s="2">
        <v>10.68</v>
      </c>
      <c r="K94" s="2">
        <v>1</v>
      </c>
      <c r="L94" s="2">
        <v>2.9</v>
      </c>
      <c r="M94" s="5">
        <f>IF(C94="North",1,0)</f>
        <v>0</v>
      </c>
      <c r="N94" s="5">
        <f>IF(C94="South",1,0)</f>
        <v>1</v>
      </c>
      <c r="O94" s="5">
        <f>IF(C94="East",1,0)</f>
        <v>0</v>
      </c>
      <c r="P94" s="5">
        <f>IF(D94="Mall",1,0)</f>
        <v>0</v>
      </c>
      <c r="Q94" s="5">
        <f>IF(D94="High Street",1,0)</f>
        <v>0</v>
      </c>
      <c r="R94" s="5">
        <f>IF(D94="Airport",1,0)</f>
        <v>1</v>
      </c>
      <c r="S94" s="2">
        <v>101598.32</v>
      </c>
      <c r="T94" s="2">
        <v>776992.93</v>
      </c>
      <c r="U94" s="12">
        <f>66915.46892
+(1.209928492*E94)
+(27.33619482*F94)
+(-41243.14883*G94)
+(3508.399163*H94)
+(3062.210286*I94)
+(-3438.10791*J94)
+(15157.28728*K94)
+(12509.46131*L94)
+(-15342.70531*M94)
+(-4201.853217*N94)
+(-25291.41891*O94)
+(32832.85351*P94)
+(20219.25907*Q94)
+(44695.0949*R94)</f>
        <v>754612.29650688893</v>
      </c>
      <c r="V94">
        <f>T94-U94</f>
        <v>22380.63349311112</v>
      </c>
    </row>
    <row r="95" spans="1:22">
      <c r="A95" s="2" t="s">
        <v>88</v>
      </c>
      <c r="B95" s="3">
        <v>45717</v>
      </c>
      <c r="C95" s="2" t="s">
        <v>15</v>
      </c>
      <c r="D95" s="2" t="s">
        <v>18</v>
      </c>
      <c r="E95" s="2">
        <v>56602.39</v>
      </c>
      <c r="F95" s="2">
        <v>7969</v>
      </c>
      <c r="G95" s="2">
        <v>0.17</v>
      </c>
      <c r="H95" s="2">
        <v>21</v>
      </c>
      <c r="I95" s="2">
        <v>88.3</v>
      </c>
      <c r="J95" s="2">
        <v>2.25</v>
      </c>
      <c r="K95" s="2">
        <v>0</v>
      </c>
      <c r="L95" s="2">
        <v>3.7</v>
      </c>
      <c r="M95" s="5">
        <f>IF(C95="North",1,0)</f>
        <v>0</v>
      </c>
      <c r="N95" s="5">
        <f>IF(C95="South",1,0)</f>
        <v>0</v>
      </c>
      <c r="O95" s="5">
        <f>IF(C95="East",1,0)</f>
        <v>1</v>
      </c>
      <c r="P95" s="5">
        <f>IF(D95="Mall",1,0)</f>
        <v>0</v>
      </c>
      <c r="Q95" s="5">
        <f>IF(D95="High Street",1,0)</f>
        <v>1</v>
      </c>
      <c r="R95" s="5">
        <f>IF(D95="Airport",1,0)</f>
        <v>0</v>
      </c>
      <c r="S95" s="2">
        <v>116273.68</v>
      </c>
      <c r="T95" s="2">
        <v>745580.51</v>
      </c>
      <c r="U95" s="12">
        <f>66915.46892
+(1.209928492*E95)
+(27.33619482*F95)
+(-41243.14883*G95)
+(3508.399163*H95)
+(3062.210286*I95)
+(-3438.10791*J95)
+(15157.28728*K95)
+(12509.46131*L95)
+(-15342.70531*M95)
+(-4201.853217*N95)
+(-25291.41891*O95)
+(32832.85351*P95)
+(20219.25907*Q95)
+(44695.0949*R95)</f>
        <v>723777.76940207591</v>
      </c>
      <c r="V95">
        <f>T95-U95</f>
        <v>21802.740597924101</v>
      </c>
    </row>
    <row r="96" spans="1:22">
      <c r="A96" s="2" t="s">
        <v>43</v>
      </c>
      <c r="B96" s="3">
        <v>45717</v>
      </c>
      <c r="C96" s="2" t="s">
        <v>27</v>
      </c>
      <c r="D96" s="2" t="s">
        <v>18</v>
      </c>
      <c r="E96" s="2">
        <v>78231.91</v>
      </c>
      <c r="F96" s="2">
        <v>3788</v>
      </c>
      <c r="G96" s="2">
        <v>5.8999999999999997E-2</v>
      </c>
      <c r="H96" s="2">
        <v>11</v>
      </c>
      <c r="I96" s="2">
        <v>88.5</v>
      </c>
      <c r="J96" s="2">
        <v>15.51</v>
      </c>
      <c r="K96" s="2">
        <v>0</v>
      </c>
      <c r="L96" s="2">
        <v>4.3</v>
      </c>
      <c r="M96" s="5">
        <f>IF(C96="North",1,0)</f>
        <v>0</v>
      </c>
      <c r="N96" s="5">
        <f>IF(C96="South",1,0)</f>
        <v>0</v>
      </c>
      <c r="O96" s="5">
        <f>IF(C96="East",1,0)</f>
        <v>0</v>
      </c>
      <c r="P96" s="5">
        <f>IF(D96="Mall",1,0)</f>
        <v>0</v>
      </c>
      <c r="Q96" s="5">
        <f>IF(D96="High Street",1,0)</f>
        <v>1</v>
      </c>
      <c r="R96" s="5">
        <f>IF(D96="Airport",1,0)</f>
        <v>0</v>
      </c>
      <c r="S96" s="2">
        <v>131199.41</v>
      </c>
      <c r="T96" s="2">
        <v>614596.31999999995</v>
      </c>
      <c r="U96" s="12">
        <f>66915.46892
+(1.209928492*E96)
+(27.33619482*F96)
+(-41243.14883*G96)
+(3508.399163*H96)
+(3062.210286*I96)
+(-3438.10791*J96)
+(15157.28728*K96)
+(12509.46131*L96)
+(-15342.70531*M96)
+(-4201.853217*N96)
+(-25291.41891*O96)
+(32832.85351*P96)
+(20219.25907*Q96)
+(44695.0949*R96)</f>
        <v>592969.53613266977</v>
      </c>
      <c r="V96">
        <f>T96-U96</f>
        <v>21626.783867330174</v>
      </c>
    </row>
    <row r="97" spans="1:22">
      <c r="A97" s="2" t="s">
        <v>75</v>
      </c>
      <c r="B97" s="3">
        <v>45658</v>
      </c>
      <c r="C97" s="2" t="s">
        <v>27</v>
      </c>
      <c r="D97" s="2" t="s">
        <v>16</v>
      </c>
      <c r="E97" s="2">
        <v>50887.46</v>
      </c>
      <c r="F97" s="2">
        <v>9505</v>
      </c>
      <c r="G97" s="2">
        <v>9.0999999999999998E-2</v>
      </c>
      <c r="H97" s="2">
        <v>25</v>
      </c>
      <c r="I97" s="2">
        <v>89.7</v>
      </c>
      <c r="J97" s="2">
        <v>2.8</v>
      </c>
      <c r="K97" s="2">
        <v>0</v>
      </c>
      <c r="L97" s="2">
        <v>4.3</v>
      </c>
      <c r="M97" s="5">
        <f>IF(C97="North",1,0)</f>
        <v>0</v>
      </c>
      <c r="N97" s="5">
        <f>IF(C97="South",1,0)</f>
        <v>0</v>
      </c>
      <c r="O97" s="5">
        <f>IF(C97="East",1,0)</f>
        <v>0</v>
      </c>
      <c r="P97" s="5">
        <f>IF(D97="Mall",1,0)</f>
        <v>0</v>
      </c>
      <c r="Q97" s="5">
        <f>IF(D97="High Street",1,0)</f>
        <v>0</v>
      </c>
      <c r="R97" s="5">
        <f>IF(D97="Airport",1,0)</f>
        <v>0</v>
      </c>
      <c r="S97" s="2">
        <v>138419.43</v>
      </c>
      <c r="T97" s="2">
        <v>812152.6</v>
      </c>
      <c r="U97" s="12">
        <f>66915.46892
+(1.209928492*E97)
+(27.33619482*F97)
+(-41243.14883*G97)
+(3508.399163*H97)
+(3062.210286*I97)
+(-3438.10791*J97)
+(15157.28728*K97)
+(12509.46131*L97)
+(-15342.70531*M97)
+(-4201.853217*N97)
+(-25291.41891*O97)
+(32832.85351*P97)
+(20219.25907*Q97)
+(44695.0949*R97)</f>
        <v>791117.28509428038</v>
      </c>
      <c r="V97">
        <f>T97-U97</f>
        <v>21035.314905719599</v>
      </c>
    </row>
    <row r="98" spans="1:22">
      <c r="A98" s="2" t="s">
        <v>83</v>
      </c>
      <c r="B98" s="3">
        <v>45658</v>
      </c>
      <c r="C98" s="2" t="s">
        <v>15</v>
      </c>
      <c r="D98" s="2" t="s">
        <v>18</v>
      </c>
      <c r="E98" s="2">
        <v>76942.2</v>
      </c>
      <c r="F98" s="2">
        <v>8934</v>
      </c>
      <c r="G98" s="2">
        <v>8.4000000000000005E-2</v>
      </c>
      <c r="H98" s="2">
        <v>20</v>
      </c>
      <c r="I98" s="2">
        <v>91</v>
      </c>
      <c r="J98" s="2">
        <v>0.95</v>
      </c>
      <c r="K98" s="2">
        <v>0</v>
      </c>
      <c r="L98" s="2">
        <v>3.2</v>
      </c>
      <c r="M98" s="5">
        <f>IF(C98="North",1,0)</f>
        <v>0</v>
      </c>
      <c r="N98" s="5">
        <f>IF(C98="South",1,0)</f>
        <v>0</v>
      </c>
      <c r="O98" s="5">
        <f>IF(C98="East",1,0)</f>
        <v>1</v>
      </c>
      <c r="P98" s="5">
        <f>IF(D98="Mall",1,0)</f>
        <v>0</v>
      </c>
      <c r="Q98" s="5">
        <f>IF(D98="High Street",1,0)</f>
        <v>1</v>
      </c>
      <c r="R98" s="5">
        <f>IF(D98="Airport",1,0)</f>
        <v>0</v>
      </c>
      <c r="S98" s="2">
        <v>159715.82</v>
      </c>
      <c r="T98" s="2">
        <v>802001.68</v>
      </c>
      <c r="U98" s="12">
        <f>66915.46892
+(1.209928492*E98)
+(27.33619482*F98)
+(-41243.14883*G98)
+(3508.399163*H98)
+(3062.210286*I98)
+(-3438.10791*J98)
+(15157.28728*K98)
+(12509.46131*L98)
+(-15342.70531*M98)
+(-4201.853217*N98)
+(-25291.41891*O98)
+(32832.85351*P98)
+(20219.25907*Q98)
+(44695.0949*R98)</f>
        <v>781288.20208082243</v>
      </c>
      <c r="V98">
        <f>T98-U98</f>
        <v>20713.477919177618</v>
      </c>
    </row>
    <row r="99" spans="1:22">
      <c r="A99" s="2" t="s">
        <v>48</v>
      </c>
      <c r="B99" s="3">
        <v>45658</v>
      </c>
      <c r="C99" s="2" t="s">
        <v>27</v>
      </c>
      <c r="D99" s="2" t="s">
        <v>18</v>
      </c>
      <c r="E99" s="2">
        <v>57919.07</v>
      </c>
      <c r="F99" s="2">
        <v>7374</v>
      </c>
      <c r="G99" s="2">
        <v>0.10299999999999999</v>
      </c>
      <c r="H99" s="2">
        <v>21</v>
      </c>
      <c r="I99" s="2">
        <v>82.3</v>
      </c>
      <c r="J99" s="2">
        <v>2.87</v>
      </c>
      <c r="K99" s="2">
        <v>0</v>
      </c>
      <c r="L99" s="2">
        <v>2.9</v>
      </c>
      <c r="M99" s="5">
        <f>IF(C99="North",1,0)</f>
        <v>0</v>
      </c>
      <c r="N99" s="5">
        <f>IF(C99="South",1,0)</f>
        <v>0</v>
      </c>
      <c r="O99" s="5">
        <f>IF(C99="East",1,0)</f>
        <v>0</v>
      </c>
      <c r="P99" s="5">
        <f>IF(D99="Mall",1,0)</f>
        <v>0</v>
      </c>
      <c r="Q99" s="5">
        <f>IF(D99="High Street",1,0)</f>
        <v>1</v>
      </c>
      <c r="R99" s="5">
        <f>IF(D99="Airport",1,0)</f>
        <v>0</v>
      </c>
      <c r="S99" s="2">
        <v>121292.01</v>
      </c>
      <c r="T99" s="2">
        <v>727227.2</v>
      </c>
      <c r="U99" s="12">
        <f>66915.46892
+(1.209928492*E99)
+(27.33619482*F99)
+(-41243.14883*G99)
+(3508.399163*H99)
+(3062.210286*I99)
+(-3438.10791*J99)
+(15157.28728*K99)
+(12509.46131*L99)
+(-15342.70531*M99)
+(-4201.853217*N99)
+(-25291.41891*O99)
+(32832.85351*P99)
+(20219.25907*Q99)
+(44695.0949*R99)</f>
        <v>706648.07434443233</v>
      </c>
      <c r="V99">
        <f>T99-U99</f>
        <v>20579.125655567623</v>
      </c>
    </row>
    <row r="100" spans="1:22">
      <c r="A100" s="2" t="s">
        <v>84</v>
      </c>
      <c r="B100" s="3">
        <v>45658</v>
      </c>
      <c r="C100" s="2" t="s">
        <v>20</v>
      </c>
      <c r="D100" s="2" t="s">
        <v>18</v>
      </c>
      <c r="E100" s="2">
        <v>40923.67</v>
      </c>
      <c r="F100" s="2">
        <v>3875</v>
      </c>
      <c r="G100" s="2">
        <v>0.15</v>
      </c>
      <c r="H100" s="2">
        <v>10</v>
      </c>
      <c r="I100" s="2">
        <v>96.1</v>
      </c>
      <c r="J100" s="2">
        <v>3.3650000000000002</v>
      </c>
      <c r="K100" s="2">
        <v>0</v>
      </c>
      <c r="L100" s="2">
        <v>3.8</v>
      </c>
      <c r="M100" s="5">
        <f>IF(C100="North",1,0)</f>
        <v>1</v>
      </c>
      <c r="N100" s="5">
        <f>IF(C100="South",1,0)</f>
        <v>0</v>
      </c>
      <c r="O100" s="5">
        <f>IF(C100="East",1,0)</f>
        <v>0</v>
      </c>
      <c r="P100" s="5">
        <f>IF(D100="Mall",1,0)</f>
        <v>0</v>
      </c>
      <c r="Q100" s="5">
        <f>IF(D100="High Street",1,0)</f>
        <v>1</v>
      </c>
      <c r="R100" s="5">
        <f>IF(D100="Airport",1,0)</f>
        <v>0</v>
      </c>
      <c r="S100" s="2">
        <v>74515.87</v>
      </c>
      <c r="T100" s="2">
        <v>606783.67000000004</v>
      </c>
      <c r="U100" s="12">
        <f>66915.46892
+(1.209928492*E100)
+(27.33619482*F100)
+(-41243.14883*G100)
+(3508.399163*H100)
+(3062.210286*I100)
+(-3438.10791*J100)
+(15157.28728*K100)
+(12509.46131*L100)
+(-15342.70531*M100)
+(-4201.853217*N100)
+(-25291.41891*O100)
+(32832.85351*P100)
+(20219.25907*Q100)
+(44695.0949*R100)</f>
        <v>586377.13958865567</v>
      </c>
      <c r="V100">
        <f>T100-U100</f>
        <v>20406.530411344371</v>
      </c>
    </row>
    <row r="101" spans="1:22">
      <c r="A101" s="2" t="s">
        <v>50</v>
      </c>
      <c r="B101" s="3">
        <v>45658</v>
      </c>
      <c r="C101" s="2" t="s">
        <v>27</v>
      </c>
      <c r="D101" s="2" t="s">
        <v>28</v>
      </c>
      <c r="E101" s="2">
        <v>61426.04</v>
      </c>
      <c r="F101" s="2">
        <v>8966</v>
      </c>
      <c r="G101" s="2">
        <v>0.17299999999999999</v>
      </c>
      <c r="H101" s="2">
        <v>22</v>
      </c>
      <c r="I101" s="2">
        <v>76.400000000000006</v>
      </c>
      <c r="J101" s="2">
        <v>1.05</v>
      </c>
      <c r="K101" s="2">
        <v>0</v>
      </c>
      <c r="L101" s="2">
        <v>3.1</v>
      </c>
      <c r="M101" s="5">
        <f>IF(C101="North",1,0)</f>
        <v>0</v>
      </c>
      <c r="N101" s="5">
        <f>IF(C101="South",1,0)</f>
        <v>0</v>
      </c>
      <c r="O101" s="5">
        <f>IF(C101="East",1,0)</f>
        <v>0</v>
      </c>
      <c r="P101" s="5">
        <f>IF(D101="Mall",1,0)</f>
        <v>1</v>
      </c>
      <c r="Q101" s="5">
        <f>IF(D101="High Street",1,0)</f>
        <v>0</v>
      </c>
      <c r="R101" s="5">
        <f>IF(D101="Airport",1,0)</f>
        <v>0</v>
      </c>
      <c r="S101" s="2">
        <v>120044.41</v>
      </c>
      <c r="T101" s="2">
        <v>778397.97</v>
      </c>
      <c r="U101" s="12">
        <f>66915.46892
+(1.209928492*E101)
+(27.33619482*F101)
+(-41243.14883*G101)
+(3508.399163*H101)
+(3062.210286*I101)
+(-3438.10791*J101)
+(15157.28728*K101)
+(12509.46131*L101)
+(-15342.70531*M101)
+(-4201.853217*N101)
+(-25291.41891*O101)
+(32832.85351*P101)
+(20219.25907*Q101)
+(44695.0949*R101)</f>
        <v>758337.6605771617</v>
      </c>
      <c r="V101">
        <f>T101-U101</f>
        <v>20060.309422838269</v>
      </c>
    </row>
    <row r="102" spans="1:22">
      <c r="A102" s="2" t="s">
        <v>78</v>
      </c>
      <c r="B102" s="3">
        <v>45658</v>
      </c>
      <c r="C102" s="2" t="s">
        <v>15</v>
      </c>
      <c r="D102" s="2" t="s">
        <v>28</v>
      </c>
      <c r="E102" s="2">
        <v>68212.289999999994</v>
      </c>
      <c r="F102" s="2">
        <v>4713</v>
      </c>
      <c r="G102" s="2">
        <v>0.19800000000000001</v>
      </c>
      <c r="H102" s="2">
        <v>15</v>
      </c>
      <c r="I102" s="2">
        <v>82.6</v>
      </c>
      <c r="J102" s="2">
        <v>4.07</v>
      </c>
      <c r="K102" s="2">
        <v>1</v>
      </c>
      <c r="L102" s="2">
        <v>3</v>
      </c>
      <c r="M102" s="5">
        <f>IF(C102="North",1,0)</f>
        <v>0</v>
      </c>
      <c r="N102" s="5">
        <f>IF(C102="South",1,0)</f>
        <v>0</v>
      </c>
      <c r="O102" s="5">
        <f>IF(C102="East",1,0)</f>
        <v>1</v>
      </c>
      <c r="P102" s="5">
        <f>IF(D102="Mall",1,0)</f>
        <v>1</v>
      </c>
      <c r="Q102" s="5">
        <f>IF(D102="High Street",1,0)</f>
        <v>0</v>
      </c>
      <c r="R102" s="5">
        <f>IF(D102="Airport",1,0)</f>
        <v>0</v>
      </c>
      <c r="S102" s="2">
        <v>90468.96</v>
      </c>
      <c r="T102" s="2">
        <v>641564.6</v>
      </c>
      <c r="U102" s="12">
        <f>66915.46892
+(1.209928492*E102)
+(27.33619482*F102)
+(-41243.14883*G102)
+(3508.399163*H102)
+(3062.210286*I102)
+(-3438.10791*J102)
+(15157.28728*K102)
+(12509.46131*L102)
+(-15342.70531*M102)
+(-4201.853217*N102)
+(-25291.41891*O102)
+(32832.85351*P102)
+(20219.25907*Q102)
+(44695.0949*R102)</f>
        <v>621915.3684987867</v>
      </c>
      <c r="V102">
        <f>T102-U102</f>
        <v>19649.231501213275</v>
      </c>
    </row>
    <row r="103" spans="1:22">
      <c r="A103" s="2" t="s">
        <v>57</v>
      </c>
      <c r="B103" s="3">
        <v>45717</v>
      </c>
      <c r="C103" s="2" t="s">
        <v>27</v>
      </c>
      <c r="D103" s="2" t="s">
        <v>18</v>
      </c>
      <c r="E103" s="2">
        <v>44034.6</v>
      </c>
      <c r="F103" s="2">
        <v>5645</v>
      </c>
      <c r="G103" s="2">
        <v>6.9000000000000006E-2</v>
      </c>
      <c r="H103" s="2">
        <v>18</v>
      </c>
      <c r="I103" s="2">
        <v>88.5</v>
      </c>
      <c r="J103" s="2">
        <v>3.07</v>
      </c>
      <c r="K103" s="2">
        <v>0</v>
      </c>
      <c r="L103" s="2">
        <v>3.8</v>
      </c>
      <c r="M103" s="5">
        <f>IF(C103="North",1,0)</f>
        <v>0</v>
      </c>
      <c r="N103" s="5">
        <f>IF(C103="South",1,0)</f>
        <v>0</v>
      </c>
      <c r="O103" s="5">
        <f>IF(C103="East",1,0)</f>
        <v>0</v>
      </c>
      <c r="P103" s="5">
        <f>IF(D103="Mall",1,0)</f>
        <v>0</v>
      </c>
      <c r="Q103" s="5">
        <f>IF(D103="High Street",1,0)</f>
        <v>1</v>
      </c>
      <c r="R103" s="5">
        <f>IF(D103="Airport",1,0)</f>
        <v>0</v>
      </c>
      <c r="S103" s="2">
        <v>77557.53</v>
      </c>
      <c r="T103" s="2">
        <v>682639.28</v>
      </c>
      <c r="U103" s="12">
        <f>66915.46892
+(1.209928492*E103)
+(27.33619482*F103)
+(-41243.14883*G103)
+(3508.399163*H103)
+(3062.210286*I103)
+(-3438.10791*J103)
+(15157.28728*K103)
+(12509.46131*L103)
+(-15342.70531*M103)
+(-4201.853217*N103)
+(-25291.41891*O103)
+(32832.85351*P103)
+(20219.25907*Q103)
+(44695.0949*R103)</f>
        <v>663018.24459275336</v>
      </c>
      <c r="V103">
        <f>T103-U103</f>
        <v>19621.035407246673</v>
      </c>
    </row>
    <row r="104" spans="1:22">
      <c r="A104" s="2" t="s">
        <v>52</v>
      </c>
      <c r="B104" s="3">
        <v>45689</v>
      </c>
      <c r="C104" s="2" t="s">
        <v>20</v>
      </c>
      <c r="D104" s="2" t="s">
        <v>18</v>
      </c>
      <c r="E104" s="2">
        <v>83044.17</v>
      </c>
      <c r="F104" s="2">
        <v>3694</v>
      </c>
      <c r="G104" s="2">
        <v>0</v>
      </c>
      <c r="H104" s="2">
        <v>14</v>
      </c>
      <c r="I104" s="2">
        <v>89.4</v>
      </c>
      <c r="J104" s="2">
        <v>2.2000000000000002</v>
      </c>
      <c r="K104" s="2">
        <v>0</v>
      </c>
      <c r="L104" s="2">
        <v>3.7</v>
      </c>
      <c r="M104" s="5">
        <f>IF(C104="North",1,0)</f>
        <v>1</v>
      </c>
      <c r="N104" s="5">
        <f>IF(C104="South",1,0)</f>
        <v>0</v>
      </c>
      <c r="O104" s="5">
        <f>IF(C104="East",1,0)</f>
        <v>0</v>
      </c>
      <c r="P104" s="5">
        <f>IF(D104="Mall",1,0)</f>
        <v>0</v>
      </c>
      <c r="Q104" s="5">
        <f>IF(D104="High Street",1,0)</f>
        <v>1</v>
      </c>
      <c r="R104" s="5">
        <f>IF(D104="Airport",1,0)</f>
        <v>0</v>
      </c>
      <c r="S104" s="2">
        <v>121446.89</v>
      </c>
      <c r="T104" s="2">
        <v>654317.09</v>
      </c>
      <c r="U104" s="12">
        <f>66915.46892
+(1.209928492*E104)
+(27.33619482*F104)
+(-41243.14883*G104)
+(3508.399163*H104)
+(3062.210286*I104)
+(-3438.10791*J104)
+(15157.28728*K104)
+(12509.46131*L104)
+(-15342.70531*M104)
+(-4201.853217*N104)
+(-25291.41891*O104)
+(32832.85351*P104)
+(20219.25907*Q104)
+(44695.0949*R104)</f>
        <v>634849.7910179717</v>
      </c>
      <c r="V104">
        <f>T104-U104</f>
        <v>19467.298982028267</v>
      </c>
    </row>
    <row r="105" spans="1:22">
      <c r="A105" s="2" t="s">
        <v>94</v>
      </c>
      <c r="B105" s="3">
        <v>45748</v>
      </c>
      <c r="C105" s="2" t="s">
        <v>15</v>
      </c>
      <c r="D105" s="2" t="s">
        <v>16</v>
      </c>
      <c r="E105" s="2">
        <v>54080.91</v>
      </c>
      <c r="F105" s="2">
        <v>7083</v>
      </c>
      <c r="G105" s="2">
        <v>0</v>
      </c>
      <c r="H105" s="2">
        <v>15</v>
      </c>
      <c r="I105" s="2">
        <v>97</v>
      </c>
      <c r="J105" s="2">
        <v>5.33</v>
      </c>
      <c r="K105" s="2">
        <v>0</v>
      </c>
      <c r="L105" s="2">
        <v>4.0999999999999996</v>
      </c>
      <c r="M105" s="5">
        <f>IF(C105="North",1,0)</f>
        <v>0</v>
      </c>
      <c r="N105" s="5">
        <f>IF(C105="South",1,0)</f>
        <v>0</v>
      </c>
      <c r="O105" s="5">
        <f>IF(C105="East",1,0)</f>
        <v>1</v>
      </c>
      <c r="P105" s="5">
        <f>IF(D105="Mall",1,0)</f>
        <v>0</v>
      </c>
      <c r="Q105" s="5">
        <f>IF(D105="High Street",1,0)</f>
        <v>0</v>
      </c>
      <c r="R105" s="5">
        <f>IF(D105="Airport",1,0)</f>
        <v>0</v>
      </c>
      <c r="S105" s="2">
        <v>111266.63</v>
      </c>
      <c r="T105" s="2">
        <v>702068.92</v>
      </c>
      <c r="U105" s="12">
        <f>66915.46892
+(1.209928492*E105)
+(27.33619482*F105)
+(-41243.14883*G105)
+(3508.399163*H105)
+(3062.210286*I105)
+(-3438.10791*J105)
+(15157.28728*K105)
+(12509.46131*L105)
+(-15342.70531*M105)
+(-4201.853217*N105)
+(-25291.41891*O105)
+(32832.85351*P105)
+(20219.25907*Q105)
+(44695.0949*R105)</f>
        <v>683304.41320004768</v>
      </c>
      <c r="V105">
        <f>T105-U105</f>
        <v>18764.50679995236</v>
      </c>
    </row>
    <row r="106" spans="1:22">
      <c r="A106" s="2" t="s">
        <v>84</v>
      </c>
      <c r="B106" s="3">
        <v>45748</v>
      </c>
      <c r="C106" s="2" t="s">
        <v>20</v>
      </c>
      <c r="D106" s="2" t="s">
        <v>18</v>
      </c>
      <c r="E106" s="2">
        <v>97480.94</v>
      </c>
      <c r="F106" s="2">
        <v>6840</v>
      </c>
      <c r="G106" s="2">
        <v>8.6999999999999994E-2</v>
      </c>
      <c r="H106" s="2">
        <v>14</v>
      </c>
      <c r="I106" s="2">
        <v>79.2</v>
      </c>
      <c r="J106" s="2">
        <v>1.1399999999999999</v>
      </c>
      <c r="K106" s="2">
        <v>0</v>
      </c>
      <c r="L106" s="2">
        <v>4</v>
      </c>
      <c r="M106" s="5">
        <f>IF(C106="North",1,0)</f>
        <v>1</v>
      </c>
      <c r="N106" s="5">
        <f>IF(C106="South",1,0)</f>
        <v>0</v>
      </c>
      <c r="O106" s="5">
        <f>IF(C106="East",1,0)</f>
        <v>0</v>
      </c>
      <c r="P106" s="5">
        <f>IF(D106="Mall",1,0)</f>
        <v>0</v>
      </c>
      <c r="Q106" s="5">
        <f>IF(D106="High Street",1,0)</f>
        <v>1</v>
      </c>
      <c r="R106" s="5">
        <f>IF(D106="Airport",1,0)</f>
        <v>0</v>
      </c>
      <c r="S106" s="2">
        <v>87614.29</v>
      </c>
      <c r="T106" s="2">
        <v>729440.45</v>
      </c>
      <c r="U106" s="12">
        <f>66915.46892
+(1.209928492*E106)
+(27.33619482*F106)
+(-41243.14883*G106)
+(3508.399163*H106)
+(3062.210286*I106)
+(-3438.10791*J106)
+(15157.28728*K106)
+(12509.46131*L106)
+(-15342.70531*M106)
+(-4201.853217*N106)
+(-25291.41891*O106)
+(32832.85351*P106)
+(20219.25907*Q106)
+(44695.0949*R106)</f>
        <v>710891.4531893325</v>
      </c>
      <c r="V106">
        <f>T106-U106</f>
        <v>18548.99681066745</v>
      </c>
    </row>
    <row r="107" spans="1:22">
      <c r="A107" s="2" t="s">
        <v>57</v>
      </c>
      <c r="B107" s="3">
        <v>45748</v>
      </c>
      <c r="C107" s="2" t="s">
        <v>27</v>
      </c>
      <c r="D107" s="2" t="s">
        <v>18</v>
      </c>
      <c r="E107" s="2">
        <v>50198.12</v>
      </c>
      <c r="F107" s="2">
        <v>6089</v>
      </c>
      <c r="G107" s="2">
        <v>0.182</v>
      </c>
      <c r="H107" s="2">
        <v>19</v>
      </c>
      <c r="I107" s="2">
        <v>94</v>
      </c>
      <c r="J107" s="2">
        <v>9.6999999999999993</v>
      </c>
      <c r="K107" s="2">
        <v>0</v>
      </c>
      <c r="L107" s="2">
        <v>3.9</v>
      </c>
      <c r="M107" s="5">
        <f>IF(C107="North",1,0)</f>
        <v>0</v>
      </c>
      <c r="N107" s="5">
        <f>IF(C107="South",1,0)</f>
        <v>0</v>
      </c>
      <c r="O107" s="5">
        <f>IF(C107="East",1,0)</f>
        <v>0</v>
      </c>
      <c r="P107" s="5">
        <f>IF(D107="Mall",1,0)</f>
        <v>0</v>
      </c>
      <c r="Q107" s="5">
        <f>IF(D107="High Street",1,0)</f>
        <v>1</v>
      </c>
      <c r="R107" s="5">
        <f>IF(D107="Airport",1,0)</f>
        <v>0</v>
      </c>
      <c r="S107" s="2">
        <v>108192.75</v>
      </c>
      <c r="T107" s="2">
        <v>695098.51</v>
      </c>
      <c r="U107" s="12">
        <f>66915.46892
+(1.209928492*E107)
+(27.33619482*F107)
+(-41243.14883*G107)
+(3508.399163*H107)
+(3062.210286*I107)
+(-3438.10791*J107)
+(15157.28728*K107)
+(12509.46131*L107)
+(-15342.70531*M107)
+(-4201.853217*N107)
+(-25291.41891*O107)
+(32832.85351*P107)
+(20219.25907*Q107)
+(44695.0949*R107)</f>
        <v>676759.30415775499</v>
      </c>
      <c r="V107">
        <f>T107-U107</f>
        <v>18339.205842245021</v>
      </c>
    </row>
    <row r="108" spans="1:22">
      <c r="A108" s="2" t="s">
        <v>43</v>
      </c>
      <c r="B108" s="3">
        <v>45658</v>
      </c>
      <c r="C108" s="2" t="s">
        <v>27</v>
      </c>
      <c r="D108" s="2" t="s">
        <v>18</v>
      </c>
      <c r="E108" s="2">
        <v>55388.11</v>
      </c>
      <c r="F108" s="2">
        <v>3091</v>
      </c>
      <c r="G108" s="2">
        <v>0.108</v>
      </c>
      <c r="H108" s="2">
        <v>7</v>
      </c>
      <c r="I108" s="2">
        <v>85.4</v>
      </c>
      <c r="J108" s="2">
        <v>7.34</v>
      </c>
      <c r="K108" s="2">
        <v>0</v>
      </c>
      <c r="L108" s="2">
        <v>4.9000000000000004</v>
      </c>
      <c r="M108" s="5">
        <f>IF(C108="North",1,0)</f>
        <v>0</v>
      </c>
      <c r="N108" s="5">
        <f>IF(C108="South",1,0)</f>
        <v>0</v>
      </c>
      <c r="O108" s="5">
        <f>IF(C108="East",1,0)</f>
        <v>0</v>
      </c>
      <c r="P108" s="5">
        <f>IF(D108="Mall",1,0)</f>
        <v>0</v>
      </c>
      <c r="Q108" s="5">
        <f>IF(D108="High Street",1,0)</f>
        <v>1</v>
      </c>
      <c r="R108" s="5">
        <f>IF(D108="Airport",1,0)</f>
        <v>0</v>
      </c>
      <c r="S108" s="2">
        <v>80271.990000000005</v>
      </c>
      <c r="T108" s="2">
        <v>574436.29</v>
      </c>
      <c r="U108" s="12">
        <f>66915.46892
+(1.209928492*E108)
+(27.33619482*F108)
+(-41243.14883*G108)
+(3508.399163*H108)
+(3062.210286*I108)
+(-3438.10791*J108)
+(15157.28728*K108)
+(12509.46131*L108)
+(-15342.70531*M108)
+(-4201.853217*N108)
+(-25291.41891*O108)
+(32832.85351*P108)
+(20219.25907*Q108)
+(44695.0949*R108)</f>
        <v>556324.49943701015</v>
      </c>
      <c r="V108">
        <f>T108-U108</f>
        <v>18111.790562989889</v>
      </c>
    </row>
    <row r="109" spans="1:22">
      <c r="A109" s="2" t="s">
        <v>78</v>
      </c>
      <c r="B109" s="3">
        <v>45717</v>
      </c>
      <c r="C109" s="2" t="s">
        <v>15</v>
      </c>
      <c r="D109" s="2" t="s">
        <v>28</v>
      </c>
      <c r="E109" s="2">
        <v>42932.02</v>
      </c>
      <c r="F109" s="2">
        <v>3872</v>
      </c>
      <c r="G109" s="2">
        <v>0.17100000000000001</v>
      </c>
      <c r="H109" s="2">
        <v>12</v>
      </c>
      <c r="I109" s="2">
        <v>83.2</v>
      </c>
      <c r="J109" s="2">
        <v>15.58</v>
      </c>
      <c r="K109" s="2">
        <v>0</v>
      </c>
      <c r="L109" s="2">
        <v>3.3</v>
      </c>
      <c r="M109" s="5">
        <f>IF(C109="North",1,0)</f>
        <v>0</v>
      </c>
      <c r="N109" s="5">
        <f>IF(C109="South",1,0)</f>
        <v>0</v>
      </c>
      <c r="O109" s="5">
        <f>IF(C109="East",1,0)</f>
        <v>1</v>
      </c>
      <c r="P109" s="5">
        <f>IF(D109="Mall",1,0)</f>
        <v>1</v>
      </c>
      <c r="Q109" s="5">
        <f>IF(D109="High Street",1,0)</f>
        <v>0</v>
      </c>
      <c r="R109" s="5">
        <f>IF(D109="Airport",1,0)</f>
        <v>0</v>
      </c>
      <c r="S109" s="2">
        <v>63153.05</v>
      </c>
      <c r="T109" s="2">
        <v>527681.56000000006</v>
      </c>
      <c r="U109" s="12">
        <f>66915.46892
+(1.209928492*E109)
+(27.33619482*F109)
+(-41243.14883*G109)
+(3508.399163*H109)
+(3062.210286*I109)
+(-3438.10791*J109)
+(15157.28728*K109)
+(12509.46131*L109)
+(-15342.70531*M109)
+(-4201.853217*N109)
+(-25291.41891*O109)
+(32832.85351*P109)
+(20219.25907*Q109)
+(44695.0949*R109)</f>
        <v>509786.93246662378</v>
      </c>
      <c r="V109">
        <f>T109-U109</f>
        <v>17894.627533376275</v>
      </c>
    </row>
    <row r="110" spans="1:22">
      <c r="A110" s="2" t="s">
        <v>58</v>
      </c>
      <c r="B110" s="3">
        <v>45748</v>
      </c>
      <c r="C110" s="2" t="s">
        <v>20</v>
      </c>
      <c r="D110" s="2" t="s">
        <v>16</v>
      </c>
      <c r="E110" s="2">
        <v>60322.400000000001</v>
      </c>
      <c r="F110" s="2">
        <v>3350</v>
      </c>
      <c r="G110" s="2">
        <v>0.108</v>
      </c>
      <c r="H110" s="2">
        <v>12</v>
      </c>
      <c r="I110" s="2">
        <v>89.4</v>
      </c>
      <c r="J110" s="2">
        <v>4.92</v>
      </c>
      <c r="K110" s="2">
        <v>0</v>
      </c>
      <c r="L110" s="2">
        <v>3.4</v>
      </c>
      <c r="M110" s="5">
        <f>IF(C110="North",1,0)</f>
        <v>1</v>
      </c>
      <c r="N110" s="5">
        <f>IF(C110="South",1,0)</f>
        <v>0</v>
      </c>
      <c r="O110" s="5">
        <f>IF(C110="East",1,0)</f>
        <v>0</v>
      </c>
      <c r="P110" s="5">
        <f>IF(D110="Mall",1,0)</f>
        <v>0</v>
      </c>
      <c r="Q110" s="5">
        <f>IF(D110="High Street",1,0)</f>
        <v>0</v>
      </c>
      <c r="R110" s="5">
        <f>IF(D110="Airport",1,0)</f>
        <v>0</v>
      </c>
      <c r="S110" s="2">
        <v>81331.070000000007</v>
      </c>
      <c r="T110" s="2">
        <v>570964.84</v>
      </c>
      <c r="U110" s="12">
        <f>66915.46892
+(1.209928492*E110)
+(27.33619482*F110)
+(-41243.14883*G110)
+(3508.399163*H110)
+(3062.210286*I110)
+(-3438.10791*J110)
+(15157.28728*K110)
+(12509.46131*L110)
+(-15342.70531*M110)
+(-4201.853217*N110)
+(-25291.41891*O110)
+(32832.85351*P110)
+(20219.25907*Q110)
+(44695.0949*R110)</f>
        <v>553159.61371038086</v>
      </c>
      <c r="V110">
        <f>T110-U110</f>
        <v>17805.22628961911</v>
      </c>
    </row>
    <row r="111" spans="1:22">
      <c r="A111" s="2" t="s">
        <v>78</v>
      </c>
      <c r="B111" s="3">
        <v>45689</v>
      </c>
      <c r="C111" s="2" t="s">
        <v>15</v>
      </c>
      <c r="D111" s="2" t="s">
        <v>28</v>
      </c>
      <c r="E111" s="2">
        <v>57225.98</v>
      </c>
      <c r="F111" s="2">
        <v>2842</v>
      </c>
      <c r="G111" s="2">
        <v>0.112</v>
      </c>
      <c r="H111" s="2">
        <v>10</v>
      </c>
      <c r="I111" s="2">
        <v>79.5</v>
      </c>
      <c r="J111" s="2">
        <v>5.45</v>
      </c>
      <c r="K111" s="2">
        <v>0</v>
      </c>
      <c r="L111" s="2">
        <v>3.4</v>
      </c>
      <c r="M111" s="5">
        <f>IF(C111="North",1,0)</f>
        <v>0</v>
      </c>
      <c r="N111" s="5">
        <f>IF(C111="South",1,0)</f>
        <v>0</v>
      </c>
      <c r="O111" s="5">
        <f>IF(C111="East",1,0)</f>
        <v>1</v>
      </c>
      <c r="P111" s="5">
        <f>IF(D111="Mall",1,0)</f>
        <v>1</v>
      </c>
      <c r="Q111" s="5">
        <f>IF(D111="High Street",1,0)</f>
        <v>0</v>
      </c>
      <c r="R111" s="5">
        <f>IF(D111="Airport",1,0)</f>
        <v>0</v>
      </c>
      <c r="S111" s="2">
        <v>97917.45</v>
      </c>
      <c r="T111" s="2">
        <v>536545.49</v>
      </c>
      <c r="U111" s="12">
        <f>66915.46892
+(1.209928492*E111)
+(27.33619482*F111)
+(-41243.14883*G111)
+(3508.399163*H111)
+(3062.210286*I111)
+(-3438.10791*J111)
+(15157.28728*K111)
+(12509.46131*L111)
+(-15342.70531*M111)
+(-4201.853217*N111)
+(-25291.41891*O111)
+(32832.85351*P111)
+(20219.25907*Q111)
+(44695.0949*R111)</f>
        <v>519090.66992560221</v>
      </c>
      <c r="V111">
        <f>T111-U111</f>
        <v>17454.82007439778</v>
      </c>
    </row>
    <row r="112" spans="1:22">
      <c r="A112" s="2" t="s">
        <v>91</v>
      </c>
      <c r="B112" s="3">
        <v>45717</v>
      </c>
      <c r="C112" s="2" t="s">
        <v>24</v>
      </c>
      <c r="D112" s="2" t="s">
        <v>16</v>
      </c>
      <c r="E112" s="2">
        <v>48609.41</v>
      </c>
      <c r="F112" s="2">
        <v>9324</v>
      </c>
      <c r="G112" s="2">
        <v>0.21299999999999999</v>
      </c>
      <c r="H112" s="2">
        <v>18</v>
      </c>
      <c r="I112" s="2">
        <v>86.5</v>
      </c>
      <c r="J112" s="2">
        <v>1.44</v>
      </c>
      <c r="K112" s="2">
        <v>0</v>
      </c>
      <c r="L112" s="2">
        <v>3.9</v>
      </c>
      <c r="M112" s="5">
        <f>IF(C112="North",1,0)</f>
        <v>0</v>
      </c>
      <c r="N112" s="5">
        <f>IF(C112="South",1,0)</f>
        <v>1</v>
      </c>
      <c r="O112" s="5">
        <f>IF(C112="East",1,0)</f>
        <v>0</v>
      </c>
      <c r="P112" s="5">
        <f>IF(D112="Mall",1,0)</f>
        <v>0</v>
      </c>
      <c r="Q112" s="5">
        <f>IF(D112="High Street",1,0)</f>
        <v>0</v>
      </c>
      <c r="R112" s="5">
        <f>IF(D112="Airport",1,0)</f>
        <v>0</v>
      </c>
      <c r="S112" s="2">
        <v>112057.69</v>
      </c>
      <c r="T112" s="2">
        <v>756619.77</v>
      </c>
      <c r="U112" s="12">
        <f>66915.46892
+(1.209928492*E112)
+(27.33619482*F112)
+(-41243.14883*G112)
+(3508.399163*H112)
+(3062.210286*I112)
+(-3438.10791*J112)
+(15157.28728*K112)
+(12509.46131*L112)
+(-15342.70531*M112)
+(-4201.853217*N112)
+(-25291.41891*O112)
+(32832.85351*P112)
+(20219.25907*Q112)
+(44695.0949*R112)</f>
        <v>739493.8140337998</v>
      </c>
      <c r="V112">
        <f>T112-U112</f>
        <v>17125.955966200214</v>
      </c>
    </row>
    <row r="113" spans="1:22">
      <c r="A113" s="2" t="s">
        <v>101</v>
      </c>
      <c r="B113" s="3">
        <v>45689</v>
      </c>
      <c r="C113" s="2" t="s">
        <v>15</v>
      </c>
      <c r="D113" s="2" t="s">
        <v>16</v>
      </c>
      <c r="E113" s="2">
        <v>24088.06</v>
      </c>
      <c r="F113" s="2">
        <v>3466</v>
      </c>
      <c r="G113" s="2">
        <v>0</v>
      </c>
      <c r="H113" s="2">
        <v>11</v>
      </c>
      <c r="I113" s="2">
        <v>88</v>
      </c>
      <c r="J113" s="2">
        <v>0.2</v>
      </c>
      <c r="K113" s="2">
        <v>0</v>
      </c>
      <c r="L113" s="2">
        <v>3.8</v>
      </c>
      <c r="M113" s="5">
        <f>IF(C113="North",1,0)</f>
        <v>0</v>
      </c>
      <c r="N113" s="5">
        <f>IF(C113="South",1,0)</f>
        <v>0</v>
      </c>
      <c r="O113" s="5">
        <f>IF(C113="East",1,0)</f>
        <v>1</v>
      </c>
      <c r="P113" s="5">
        <f>IF(D113="Mall",1,0)</f>
        <v>0</v>
      </c>
      <c r="Q113" s="5">
        <f>IF(D113="High Street",1,0)</f>
        <v>0</v>
      </c>
      <c r="R113" s="5">
        <f>IF(D113="Airport",1,0)</f>
        <v>0</v>
      </c>
      <c r="S113" s="2">
        <v>107473.75</v>
      </c>
      <c r="T113" s="2">
        <v>536845.42000000004</v>
      </c>
      <c r="U113" s="12">
        <f>66915.46892
+(1.209928492*E113)
+(27.33619482*F113)
+(-41243.14883*G113)
+(3508.399163*H113)
+(3062.210286*I113)
+(-3438.10791*J113)
+(15157.28728*K113)
+(12509.46131*L113)
+(-15342.70531*M113)
+(-4201.853217*N113)
+(-25291.41891*O113)
+(32832.85351*P113)
+(20219.25907*Q113)
+(44695.0949*R113)</f>
        <v>520431.35872412554</v>
      </c>
      <c r="V113">
        <f>T113-U113</f>
        <v>16414.061275874497</v>
      </c>
    </row>
    <row r="114" spans="1:22">
      <c r="A114" s="2" t="s">
        <v>46</v>
      </c>
      <c r="B114" s="3">
        <v>45658</v>
      </c>
      <c r="C114" s="2" t="s">
        <v>27</v>
      </c>
      <c r="D114" s="2" t="s">
        <v>28</v>
      </c>
      <c r="E114" s="2">
        <v>61132.07</v>
      </c>
      <c r="F114" s="2">
        <v>6394</v>
      </c>
      <c r="G114" s="2">
        <v>0.16300000000000001</v>
      </c>
      <c r="H114" s="2">
        <v>19</v>
      </c>
      <c r="I114" s="2">
        <v>91</v>
      </c>
      <c r="J114" s="2">
        <v>19.600000000000001</v>
      </c>
      <c r="K114" s="2">
        <v>0</v>
      </c>
      <c r="L114" s="2">
        <v>4.4000000000000004</v>
      </c>
      <c r="M114" s="5">
        <f>IF(C114="North",1,0)</f>
        <v>0</v>
      </c>
      <c r="N114" s="5">
        <f>IF(C114="South",1,0)</f>
        <v>0</v>
      </c>
      <c r="O114" s="5">
        <f>IF(C114="East",1,0)</f>
        <v>0</v>
      </c>
      <c r="P114" s="5">
        <f>IF(D114="Mall",1,0)</f>
        <v>1</v>
      </c>
      <c r="Q114" s="5">
        <f>IF(D114="High Street",1,0)</f>
        <v>0</v>
      </c>
      <c r="R114" s="5">
        <f>IF(D114="Airport",1,0)</f>
        <v>0</v>
      </c>
      <c r="S114" s="2">
        <v>135145.44</v>
      </c>
      <c r="T114" s="2">
        <v>691113.62</v>
      </c>
      <c r="U114" s="12">
        <f>66915.46892
+(1.209928492*E114)
+(27.33619482*F114)
+(-41243.14883*G114)
+(3508.399163*H114)
+(3062.210286*I114)
+(-3438.10791*J114)
+(15157.28728*K114)
+(12509.46131*L114)
+(-15342.70531*M114)
+(-4201.853217*N114)
+(-25291.41891*O114)
+(32832.85351*P114)
+(20219.25907*Q114)
+(44695.0949*R114)</f>
        <v>674754.18696872855</v>
      </c>
      <c r="V114">
        <f>T114-U114</f>
        <v>16359.433031271445</v>
      </c>
    </row>
    <row r="115" spans="1:22">
      <c r="A115" s="2" t="s">
        <v>81</v>
      </c>
      <c r="B115" s="3">
        <v>45689</v>
      </c>
      <c r="C115" s="2" t="s">
        <v>27</v>
      </c>
      <c r="D115" s="2" t="s">
        <v>28</v>
      </c>
      <c r="E115" s="2">
        <v>72961.95</v>
      </c>
      <c r="F115" s="2">
        <v>9996</v>
      </c>
      <c r="G115" s="2">
        <v>0.106</v>
      </c>
      <c r="H115" s="2">
        <v>22</v>
      </c>
      <c r="I115" s="2">
        <v>89.1</v>
      </c>
      <c r="J115" s="2">
        <v>15.66</v>
      </c>
      <c r="K115" s="2">
        <v>0</v>
      </c>
      <c r="L115" s="2">
        <v>3.4</v>
      </c>
      <c r="M115" s="5">
        <f>IF(C115="North",1,0)</f>
        <v>0</v>
      </c>
      <c r="N115" s="5">
        <f>IF(C115="South",1,0)</f>
        <v>0</v>
      </c>
      <c r="O115" s="5">
        <f>IF(C115="East",1,0)</f>
        <v>0</v>
      </c>
      <c r="P115" s="5">
        <f>IF(D115="Mall",1,0)</f>
        <v>1</v>
      </c>
      <c r="Q115" s="5">
        <f>IF(D115="High Street",1,0)</f>
        <v>0</v>
      </c>
      <c r="R115" s="5">
        <f>IF(D115="Airport",1,0)</f>
        <v>0</v>
      </c>
      <c r="S115" s="2">
        <v>131510</v>
      </c>
      <c r="T115" s="2">
        <v>810355.02</v>
      </c>
      <c r="U115" s="12">
        <f>66915.46892
+(1.209928492*E115)
+(27.33619482*F115)
+(-41243.14883*G115)
+(3508.399163*H115)
+(3062.210286*I115)
+(-3438.10791*J115)
+(15157.28728*K115)
+(12509.46131*L115)
+(-15342.70531*M115)
+(-4201.853217*N115)
+(-25291.41891*O115)
+(32832.85351*P115)
+(20219.25907*Q115)
+(44695.0949*R115)</f>
        <v>795627.01086361939</v>
      </c>
      <c r="V115">
        <f>T115-U115</f>
        <v>14728.009136380628</v>
      </c>
    </row>
    <row r="116" spans="1:22">
      <c r="A116" s="2" t="s">
        <v>90</v>
      </c>
      <c r="B116" s="3">
        <v>45689</v>
      </c>
      <c r="C116" s="2" t="s">
        <v>27</v>
      </c>
      <c r="D116" s="2" t="s">
        <v>18</v>
      </c>
      <c r="E116" s="2">
        <v>17562.57</v>
      </c>
      <c r="F116" s="2">
        <v>3326</v>
      </c>
      <c r="G116" s="2">
        <v>0.153</v>
      </c>
      <c r="H116" s="2">
        <v>14</v>
      </c>
      <c r="I116" s="2">
        <v>88.1</v>
      </c>
      <c r="J116" s="2">
        <v>1.04</v>
      </c>
      <c r="K116" s="2">
        <v>0</v>
      </c>
      <c r="L116" s="2">
        <v>3.1</v>
      </c>
      <c r="M116" s="5">
        <f>IF(C116="North",1,0)</f>
        <v>0</v>
      </c>
      <c r="N116" s="5">
        <f>IF(C116="South",1,0)</f>
        <v>0</v>
      </c>
      <c r="O116" s="5">
        <f>IF(C116="East",1,0)</f>
        <v>0</v>
      </c>
      <c r="P116" s="5">
        <f>IF(D116="Mall",1,0)</f>
        <v>0</v>
      </c>
      <c r="Q116" s="5">
        <f>IF(D116="High Street",1,0)</f>
        <v>1</v>
      </c>
      <c r="R116" s="5">
        <f>IF(D116="Airport",1,0)</f>
        <v>0</v>
      </c>
      <c r="S116" s="2">
        <v>75072.75</v>
      </c>
      <c r="T116" s="2">
        <v>561597.32999999996</v>
      </c>
      <c r="U116" s="12">
        <f>66915.46892
+(1.209928492*E116)
+(27.33619482*F116)
+(-41243.14883*G116)
+(3508.399163*H116)
+(3062.210286*I116)
+(-3438.10791*J116)
+(15157.28728*K116)
+(12509.46131*L116)
+(-15342.70531*M116)
+(-4201.853217*N116)
+(-25291.41891*O116)
+(32832.85351*P116)
+(20219.25907*Q116)
+(44695.0949*R116)</f>
        <v>547096.17633927439</v>
      </c>
      <c r="V116">
        <f>T116-U116</f>
        <v>14501.153660725569</v>
      </c>
    </row>
    <row r="117" spans="1:22">
      <c r="A117" s="2" t="s">
        <v>82</v>
      </c>
      <c r="B117" s="3">
        <v>45689</v>
      </c>
      <c r="C117" s="2" t="s">
        <v>24</v>
      </c>
      <c r="D117" s="2" t="s">
        <v>21</v>
      </c>
      <c r="E117" s="2">
        <v>51781.599999999999</v>
      </c>
      <c r="F117" s="2">
        <v>5648</v>
      </c>
      <c r="G117" s="2">
        <v>5.8999999999999997E-2</v>
      </c>
      <c r="H117" s="2">
        <v>13</v>
      </c>
      <c r="I117" s="2">
        <v>85.5</v>
      </c>
      <c r="J117" s="2">
        <v>4.04</v>
      </c>
      <c r="K117" s="2">
        <v>0</v>
      </c>
      <c r="L117" s="2">
        <v>3.7</v>
      </c>
      <c r="M117" s="5">
        <f>IF(C117="North",1,0)</f>
        <v>0</v>
      </c>
      <c r="N117" s="5">
        <f>IF(C117="South",1,0)</f>
        <v>1</v>
      </c>
      <c r="O117" s="5">
        <f>IF(C117="East",1,0)</f>
        <v>0</v>
      </c>
      <c r="P117" s="5">
        <f>IF(D117="Mall",1,0)</f>
        <v>0</v>
      </c>
      <c r="Q117" s="5">
        <f>IF(D117="High Street",1,0)</f>
        <v>0</v>
      </c>
      <c r="R117" s="5">
        <f>IF(D117="Airport",1,0)</f>
        <v>1</v>
      </c>
      <c r="S117" s="2">
        <v>104355.77</v>
      </c>
      <c r="T117" s="2">
        <v>676337.41</v>
      </c>
      <c r="U117" s="12">
        <f>66915.46892
+(1.209928492*E117)
+(27.33619482*F117)
+(-41243.14883*G117)
+(3508.399163*H117)
+(3062.210286*I117)
+(-3438.10791*J117)
+(15157.28728*K117)
+(12509.46131*L117)
+(-15342.70531*M117)
+(-4201.853217*N117)
+(-25291.41891*O117)
+(32832.85351*P117)
+(20219.25907*Q117)
+(44695.0949*R117)</f>
        <v>661845.44582933711</v>
      </c>
      <c r="V117">
        <f>T117-U117</f>
        <v>14491.964170662919</v>
      </c>
    </row>
    <row r="118" spans="1:22">
      <c r="A118" s="2" t="s">
        <v>47</v>
      </c>
      <c r="B118" s="3">
        <v>45717</v>
      </c>
      <c r="C118" s="2" t="s">
        <v>15</v>
      </c>
      <c r="D118" s="2" t="s">
        <v>28</v>
      </c>
      <c r="E118" s="2">
        <v>90084.4</v>
      </c>
      <c r="F118" s="2">
        <v>6832</v>
      </c>
      <c r="G118" s="2">
        <v>0.185</v>
      </c>
      <c r="H118" s="2">
        <v>14</v>
      </c>
      <c r="I118" s="2">
        <v>80.5</v>
      </c>
      <c r="J118" s="2">
        <v>0.77</v>
      </c>
      <c r="K118" s="2">
        <v>1</v>
      </c>
      <c r="L118" s="2">
        <v>4.4000000000000004</v>
      </c>
      <c r="M118" s="5">
        <f>IF(C118="North",1,0)</f>
        <v>0</v>
      </c>
      <c r="N118" s="5">
        <f>IF(C118="South",1,0)</f>
        <v>0</v>
      </c>
      <c r="O118" s="5">
        <f>IF(C118="East",1,0)</f>
        <v>1</v>
      </c>
      <c r="P118" s="5">
        <f>IF(D118="Mall",1,0)</f>
        <v>1</v>
      </c>
      <c r="Q118" s="5">
        <f>IF(D118="High Street",1,0)</f>
        <v>0</v>
      </c>
      <c r="R118" s="5">
        <f>IF(D118="Airport",1,0)</f>
        <v>0</v>
      </c>
      <c r="S118" s="2">
        <v>114299.07</v>
      </c>
      <c r="T118" s="2">
        <v>740102.64</v>
      </c>
      <c r="U118" s="12">
        <f>66915.46892
+(1.209928492*E118)
+(27.33619482*F118)
+(-41243.14883*G118)
+(3508.399163*H118)
+(3062.210286*I118)
+(-3438.10791*J118)
+(15157.28728*K118)
+(12509.46131*L118)
+(-15342.70531*M118)
+(-4201.853217*N118)
+(-25291.41891*O118)
+(32832.85351*P118)
+(20219.25907*Q118)
+(44695.0949*R118)</f>
        <v>725760.57649971475</v>
      </c>
      <c r="V118">
        <f>T118-U118</f>
        <v>14342.063500285265</v>
      </c>
    </row>
    <row r="119" spans="1:22">
      <c r="A119" s="2" t="s">
        <v>44</v>
      </c>
      <c r="B119" s="3">
        <v>45658</v>
      </c>
      <c r="C119" s="2" t="s">
        <v>24</v>
      </c>
      <c r="D119" s="2" t="s">
        <v>28</v>
      </c>
      <c r="E119" s="2">
        <v>50517.94</v>
      </c>
      <c r="F119" s="2">
        <v>7024</v>
      </c>
      <c r="G119" s="2">
        <v>2.9000000000000001E-2</v>
      </c>
      <c r="H119" s="2">
        <v>18</v>
      </c>
      <c r="I119" s="2">
        <v>79.2</v>
      </c>
      <c r="J119" s="2">
        <v>6.61</v>
      </c>
      <c r="K119" s="2">
        <v>1</v>
      </c>
      <c r="L119" s="2">
        <v>4.0999999999999996</v>
      </c>
      <c r="M119" s="5">
        <f>IF(C119="North",1,0)</f>
        <v>0</v>
      </c>
      <c r="N119" s="5">
        <f>IF(C119="South",1,0)</f>
        <v>1</v>
      </c>
      <c r="O119" s="5">
        <f>IF(C119="East",1,0)</f>
        <v>0</v>
      </c>
      <c r="P119" s="5">
        <f>IF(D119="Mall",1,0)</f>
        <v>1</v>
      </c>
      <c r="Q119" s="5">
        <f>IF(D119="High Street",1,0)</f>
        <v>0</v>
      </c>
      <c r="R119" s="5">
        <f>IF(D119="Airport",1,0)</f>
        <v>0</v>
      </c>
      <c r="S119" s="2">
        <v>105863.26</v>
      </c>
      <c r="T119" s="2">
        <v>711213.46</v>
      </c>
      <c r="U119" s="12">
        <f>66915.46892
+(1.209928492*E119)
+(27.33619482*F119)
+(-41243.14883*G119)
+(3508.399163*H119)
+(3062.210286*I119)
+(-3438.10791*J119)
+(15157.28728*K119)
+(12509.46131*L119)
+(-15342.70531*M119)
+(-4201.853217*N119)
+(-25291.41891*O119)
+(32832.85351*P119)
+(20219.25907*Q119)
+(44695.0949*R119)</f>
        <v>696881.37022685655</v>
      </c>
      <c r="V119">
        <f>T119-U119</f>
        <v>14332.089773143409</v>
      </c>
    </row>
    <row r="120" spans="1:22">
      <c r="A120" s="2" t="s">
        <v>58</v>
      </c>
      <c r="B120" s="3">
        <v>45717</v>
      </c>
      <c r="C120" s="2" t="s">
        <v>20</v>
      </c>
      <c r="D120" s="2" t="s">
        <v>16</v>
      </c>
      <c r="E120" s="2">
        <v>53351.7</v>
      </c>
      <c r="F120" s="2">
        <v>4259</v>
      </c>
      <c r="G120" s="2">
        <v>0.156</v>
      </c>
      <c r="H120" s="2">
        <v>15</v>
      </c>
      <c r="I120" s="2">
        <v>93.7</v>
      </c>
      <c r="J120" s="2">
        <v>6.03</v>
      </c>
      <c r="K120" s="2">
        <v>0</v>
      </c>
      <c r="L120" s="2">
        <v>3.4</v>
      </c>
      <c r="M120" s="5">
        <f>IF(C120="North",1,0)</f>
        <v>1</v>
      </c>
      <c r="N120" s="5">
        <f>IF(C120="South",1,0)</f>
        <v>0</v>
      </c>
      <c r="O120" s="5">
        <f>IF(C120="East",1,0)</f>
        <v>0</v>
      </c>
      <c r="P120" s="5">
        <f>IF(D120="Mall",1,0)</f>
        <v>0</v>
      </c>
      <c r="Q120" s="5">
        <f>IF(D120="High Street",1,0)</f>
        <v>0</v>
      </c>
      <c r="R120" s="5">
        <f>IF(D120="Airport",1,0)</f>
        <v>0</v>
      </c>
      <c r="S120" s="2">
        <v>91634.82</v>
      </c>
      <c r="T120" s="2">
        <v>601568.87</v>
      </c>
      <c r="U120" s="12">
        <f>66915.46892
+(1.209928492*E120)
+(27.33619482*F120)
+(-41243.14883*G120)
+(3508.399163*H120)
+(3062.210286*I120)
+(-3438.10791*J120)
+(15157.28728*K120)
+(12509.46131*L120)
+(-15342.70531*M120)
+(-4201.853217*N120)
+(-25291.41891*O120)
+(32832.85351*P120)
+(20219.25907*Q120)
+(44695.0949*R120)</f>
        <v>587470.89705743641</v>
      </c>
      <c r="V120">
        <f>T120-U120</f>
        <v>14097.972942563589</v>
      </c>
    </row>
    <row r="121" spans="1:22">
      <c r="A121" s="2" t="s">
        <v>85</v>
      </c>
      <c r="B121" s="3">
        <v>45717</v>
      </c>
      <c r="C121" s="2" t="s">
        <v>24</v>
      </c>
      <c r="D121" s="2" t="s">
        <v>21</v>
      </c>
      <c r="E121" s="2">
        <v>75412.740000000005</v>
      </c>
      <c r="F121" s="2">
        <v>5641</v>
      </c>
      <c r="G121" s="2">
        <v>5.8999999999999997E-2</v>
      </c>
      <c r="H121" s="2">
        <v>13</v>
      </c>
      <c r="I121" s="2">
        <v>87.9</v>
      </c>
      <c r="J121" s="2">
        <v>0.84</v>
      </c>
      <c r="K121" s="2">
        <v>0</v>
      </c>
      <c r="L121" s="2">
        <v>3.6</v>
      </c>
      <c r="M121" s="5">
        <f>IF(C121="North",1,0)</f>
        <v>0</v>
      </c>
      <c r="N121" s="5">
        <f>IF(C121="South",1,0)</f>
        <v>1</v>
      </c>
      <c r="O121" s="5">
        <f>IF(C121="East",1,0)</f>
        <v>0</v>
      </c>
      <c r="P121" s="5">
        <f>IF(D121="Mall",1,0)</f>
        <v>0</v>
      </c>
      <c r="Q121" s="5">
        <f>IF(D121="High Street",1,0)</f>
        <v>0</v>
      </c>
      <c r="R121" s="5">
        <f>IF(D121="Airport",1,0)</f>
        <v>1</v>
      </c>
      <c r="S121" s="2">
        <v>119499.47</v>
      </c>
      <c r="T121" s="2">
        <v>720079.54</v>
      </c>
      <c r="U121" s="12">
        <f>66915.46892
+(1.209928492*E121)
+(27.33619482*F121)
+(-41243.14883*G121)
+(3508.399163*H121)
+(3062.210286*I121)
+(-3438.10791*J121)
+(15157.28728*K121)
+(12509.46131*L121)
+(-15342.70531*M121)
+(-4201.853217*N121)
+(-25291.41891*O121)
+(32832.85351*P121)
+(20219.25907*Q121)
+(44695.0949*R121)</f>
        <v>707346.38591743808</v>
      </c>
      <c r="V121">
        <f>T121-U121</f>
        <v>12733.15408256196</v>
      </c>
    </row>
    <row r="122" spans="1:22">
      <c r="A122" s="2" t="s">
        <v>32</v>
      </c>
      <c r="B122" s="3">
        <v>45658</v>
      </c>
      <c r="C122" s="2" t="s">
        <v>15</v>
      </c>
      <c r="D122" s="2" t="s">
        <v>28</v>
      </c>
      <c r="E122" s="2">
        <v>40462.94</v>
      </c>
      <c r="F122" s="2">
        <v>3660</v>
      </c>
      <c r="G122" s="2">
        <v>0.218</v>
      </c>
      <c r="H122" s="2">
        <v>11</v>
      </c>
      <c r="I122" s="2">
        <v>95.2</v>
      </c>
      <c r="J122" s="2">
        <v>5.57</v>
      </c>
      <c r="K122" s="2">
        <v>0</v>
      </c>
      <c r="L122" s="2">
        <v>4.4000000000000004</v>
      </c>
      <c r="M122" s="5">
        <f>IF(C122="North",1,0)</f>
        <v>0</v>
      </c>
      <c r="N122" s="5">
        <f>IF(C122="South",1,0)</f>
        <v>0</v>
      </c>
      <c r="O122" s="5">
        <f>IF(C122="East",1,0)</f>
        <v>1</v>
      </c>
      <c r="P122" s="5">
        <f>IF(D122="Mall",1,0)</f>
        <v>1</v>
      </c>
      <c r="Q122" s="5">
        <f>IF(D122="High Street",1,0)</f>
        <v>0</v>
      </c>
      <c r="R122" s="5">
        <f>IF(D122="Airport",1,0)</f>
        <v>0</v>
      </c>
      <c r="S122" s="2">
        <v>92291.56</v>
      </c>
      <c r="T122" s="2">
        <v>592195.85</v>
      </c>
      <c r="U122" s="12">
        <f>66915.46892
+(1.209928492*E122)
+(27.33619482*F122)
+(-41243.14883*G122)
+(3508.399163*H122)
+(3062.210286*I122)
+(-3438.10791*J122)
+(15157.28728*K122)
+(12509.46131*L122)
+(-15342.70531*M122)
+(-4201.853217*N122)
+(-25291.41891*O122)
+(32832.85351*P122)
+(20219.25907*Q122)
+(44695.0949*R122)</f>
        <v>580479.81281784654</v>
      </c>
      <c r="V122">
        <f>T122-U122</f>
        <v>11716.037182153435</v>
      </c>
    </row>
    <row r="123" spans="1:22">
      <c r="A123" s="2" t="s">
        <v>77</v>
      </c>
      <c r="B123" s="3">
        <v>45658</v>
      </c>
      <c r="C123" s="2" t="s">
        <v>15</v>
      </c>
      <c r="D123" s="2" t="s">
        <v>18</v>
      </c>
      <c r="E123" s="2">
        <v>53367.73</v>
      </c>
      <c r="F123" s="2">
        <v>7291</v>
      </c>
      <c r="G123" s="2">
        <v>0.14599999999999999</v>
      </c>
      <c r="H123" s="2">
        <v>18</v>
      </c>
      <c r="I123" s="2">
        <v>90.6</v>
      </c>
      <c r="J123" s="2">
        <v>6.34</v>
      </c>
      <c r="K123" s="2">
        <v>1</v>
      </c>
      <c r="L123" s="2">
        <v>3.8</v>
      </c>
      <c r="M123" s="5">
        <f>IF(C123="North",1,0)</f>
        <v>0</v>
      </c>
      <c r="N123" s="5">
        <f>IF(C123="South",1,0)</f>
        <v>0</v>
      </c>
      <c r="O123" s="5">
        <f>IF(C123="East",1,0)</f>
        <v>1</v>
      </c>
      <c r="P123" s="5">
        <f>IF(D123="Mall",1,0)</f>
        <v>0</v>
      </c>
      <c r="Q123" s="5">
        <f>IF(D123="High Street",1,0)</f>
        <v>1</v>
      </c>
      <c r="R123" s="5">
        <f>IF(D123="Airport",1,0)</f>
        <v>0</v>
      </c>
      <c r="S123" s="2">
        <v>85906.54</v>
      </c>
      <c r="T123" s="2">
        <v>712219.81</v>
      </c>
      <c r="U123" s="12">
        <f>66915.46892
+(1.209928492*E123)
+(27.33619482*F123)
+(-41243.14883*G123)
+(3508.399163*H123)
+(3062.210286*I123)
+(-3438.10791*J123)
+(15157.28728*K123)
+(12509.46131*L123)
+(-15342.70531*M123)
+(-4201.853217*N123)
+(-25291.41891*O123)
+(32832.85351*P123)
+(20219.25907*Q123)
+(44695.0949*R123)</f>
        <v>701184.21581800329</v>
      </c>
      <c r="V123">
        <f>T123-U123</f>
        <v>11035.59418199677</v>
      </c>
    </row>
    <row r="124" spans="1:22">
      <c r="A124" s="2" t="s">
        <v>65</v>
      </c>
      <c r="B124" s="3">
        <v>45748</v>
      </c>
      <c r="C124" s="2" t="s">
        <v>15</v>
      </c>
      <c r="D124" s="2" t="s">
        <v>16</v>
      </c>
      <c r="E124" s="2">
        <v>63043.94</v>
      </c>
      <c r="F124" s="2">
        <v>10402</v>
      </c>
      <c r="G124" s="2">
        <v>0.159</v>
      </c>
      <c r="H124" s="2">
        <v>23</v>
      </c>
      <c r="I124" s="2">
        <v>93.9</v>
      </c>
      <c r="J124" s="2">
        <v>2.71</v>
      </c>
      <c r="K124" s="2">
        <v>0</v>
      </c>
      <c r="L124" s="2">
        <v>3.1</v>
      </c>
      <c r="M124" s="5">
        <f>IF(C124="North",1,0)</f>
        <v>0</v>
      </c>
      <c r="N124" s="5">
        <f>IF(C124="South",1,0)</f>
        <v>0</v>
      </c>
      <c r="O124" s="5">
        <f>IF(C124="East",1,0)</f>
        <v>1</v>
      </c>
      <c r="P124" s="5">
        <f>IF(D124="Mall",1,0)</f>
        <v>0</v>
      </c>
      <c r="Q124" s="5">
        <f>IF(D124="High Street",1,0)</f>
        <v>0</v>
      </c>
      <c r="R124" s="5">
        <f>IF(D124="Airport",1,0)</f>
        <v>0</v>
      </c>
      <c r="S124" s="2">
        <v>167117.91</v>
      </c>
      <c r="T124" s="2">
        <v>804264</v>
      </c>
      <c r="U124" s="12">
        <f>66915.46892
+(1.209928492*E124)
+(27.33619482*F124)
+(-41243.14883*G124)
+(3508.399163*H124)
+(3062.210286*I124)
+(-3438.10791*J124)
+(15157.28728*K124)
+(12509.46131*L124)
+(-15342.70531*M124)
+(-4201.853217*N124)
+(-25291.41891*O124)
+(32832.85351*P124)
+(20219.25907*Q124)
+(44695.0949*R124)</f>
        <v>793392.93134690833</v>
      </c>
      <c r="V124">
        <f>T124-U124</f>
        <v>10871.068653091672</v>
      </c>
    </row>
    <row r="125" spans="1:22">
      <c r="A125" s="2" t="s">
        <v>63</v>
      </c>
      <c r="B125" s="3">
        <v>45748</v>
      </c>
      <c r="C125" s="2" t="s">
        <v>20</v>
      </c>
      <c r="D125" s="2" t="s">
        <v>28</v>
      </c>
      <c r="E125" s="2">
        <v>78432.14</v>
      </c>
      <c r="F125" s="2">
        <v>9440</v>
      </c>
      <c r="G125" s="2">
        <v>0.126</v>
      </c>
      <c r="H125" s="2">
        <v>23</v>
      </c>
      <c r="I125" s="2">
        <v>89.2</v>
      </c>
      <c r="J125" s="2">
        <v>7.86</v>
      </c>
      <c r="K125" s="2">
        <v>0</v>
      </c>
      <c r="L125" s="2">
        <v>4.0999999999999996</v>
      </c>
      <c r="M125" s="5">
        <f>IF(C125="North",1,0)</f>
        <v>1</v>
      </c>
      <c r="N125" s="5">
        <f>IF(C125="South",1,0)</f>
        <v>0</v>
      </c>
      <c r="O125" s="5">
        <f>IF(C125="East",1,0)</f>
        <v>0</v>
      </c>
      <c r="P125" s="5">
        <f>IF(D125="Mall",1,0)</f>
        <v>1</v>
      </c>
      <c r="Q125" s="5">
        <f>IF(D125="High Street",1,0)</f>
        <v>0</v>
      </c>
      <c r="R125" s="5">
        <f>IF(D125="Airport",1,0)</f>
        <v>0</v>
      </c>
      <c r="S125" s="2">
        <v>159325.47</v>
      </c>
      <c r="T125" s="2">
        <v>820729.29</v>
      </c>
      <c r="U125" s="12">
        <f>66915.46892
+(1.209928492*E125)
+(27.33619482*F125)
+(-41243.14883*G125)
+(3508.399163*H125)
+(3062.210286*I125)
+(-3438.10791*J125)
+(15157.28728*K125)
+(12509.46131*L125)
+(-15342.70531*M125)
+(-4201.853217*N125)
+(-25291.41891*O125)
+(32832.85351*P125)
+(20219.25907*Q125)
+(44695.0949*R125)</f>
        <v>810267.54180135299</v>
      </c>
      <c r="V125">
        <f>T125-U125</f>
        <v>10461.748198647052</v>
      </c>
    </row>
    <row r="126" spans="1:22">
      <c r="A126" s="2" t="s">
        <v>59</v>
      </c>
      <c r="B126" s="3">
        <v>45717</v>
      </c>
      <c r="C126" s="2" t="s">
        <v>24</v>
      </c>
      <c r="D126" s="2" t="s">
        <v>28</v>
      </c>
      <c r="E126" s="2">
        <v>47093.55</v>
      </c>
      <c r="F126" s="2">
        <v>5550</v>
      </c>
      <c r="G126" s="2">
        <v>0.1</v>
      </c>
      <c r="H126" s="2">
        <v>12</v>
      </c>
      <c r="I126" s="2">
        <v>95</v>
      </c>
      <c r="J126" s="2">
        <v>2.33</v>
      </c>
      <c r="K126" s="2">
        <v>1</v>
      </c>
      <c r="L126" s="2">
        <v>3.7</v>
      </c>
      <c r="M126" s="5">
        <f>IF(C126="North",1,0)</f>
        <v>0</v>
      </c>
      <c r="N126" s="5">
        <f>IF(C126="South",1,0)</f>
        <v>1</v>
      </c>
      <c r="O126" s="5">
        <f>IF(C126="East",1,0)</f>
        <v>0</v>
      </c>
      <c r="P126" s="5">
        <f>IF(D126="Mall",1,0)</f>
        <v>1</v>
      </c>
      <c r="Q126" s="5">
        <f>IF(D126="High Street",1,0)</f>
        <v>0</v>
      </c>
      <c r="R126" s="5">
        <f>IF(D126="Airport",1,0)</f>
        <v>0</v>
      </c>
      <c r="S126" s="2">
        <v>152230.09</v>
      </c>
      <c r="T126" s="2">
        <v>696744.15</v>
      </c>
      <c r="U126" s="12">
        <f>66915.46892
+(1.209928492*E126)
+(27.33619482*F126)
+(-41243.14883*G126)
+(3508.399163*H126)
+(3062.210286*I126)
+(-3438.10791*J126)
+(15157.28728*K126)
+(12509.46131*L126)
+(-15342.70531*M126)
+(-4201.853217*N126)
+(-25291.41891*O126)
+(32832.85351*P126)
+(20219.25907*Q126)
+(44695.0949*R126)</f>
        <v>686560.1333381267</v>
      </c>
      <c r="V126">
        <f>T126-U126</f>
        <v>10184.01666187332</v>
      </c>
    </row>
    <row r="127" spans="1:22">
      <c r="A127" s="2" t="s">
        <v>77</v>
      </c>
      <c r="B127" s="3">
        <v>45717</v>
      </c>
      <c r="C127" s="2" t="s">
        <v>15</v>
      </c>
      <c r="D127" s="2" t="s">
        <v>18</v>
      </c>
      <c r="E127" s="2">
        <v>66962.740000000005</v>
      </c>
      <c r="F127" s="2">
        <v>7880</v>
      </c>
      <c r="G127" s="2">
        <v>0.11600000000000001</v>
      </c>
      <c r="H127" s="2">
        <v>19</v>
      </c>
      <c r="I127" s="2">
        <v>90.4</v>
      </c>
      <c r="J127" s="2">
        <v>4.5</v>
      </c>
      <c r="K127" s="2">
        <v>0</v>
      </c>
      <c r="L127" s="2">
        <v>3.3</v>
      </c>
      <c r="M127" s="5">
        <f>IF(C127="North",1,0)</f>
        <v>0</v>
      </c>
      <c r="N127" s="5">
        <f>IF(C127="South",1,0)</f>
        <v>0</v>
      </c>
      <c r="O127" s="5">
        <f>IF(C127="East",1,0)</f>
        <v>1</v>
      </c>
      <c r="P127" s="5">
        <f>IF(D127="Mall",1,0)</f>
        <v>0</v>
      </c>
      <c r="Q127" s="5">
        <f>IF(D127="High Street",1,0)</f>
        <v>1</v>
      </c>
      <c r="R127" s="5">
        <f>IF(D127="Airport",1,0)</f>
        <v>0</v>
      </c>
      <c r="S127" s="2">
        <v>128654.46</v>
      </c>
      <c r="T127" s="2">
        <v>732667.92</v>
      </c>
      <c r="U127" s="12">
        <f>66915.46892
+(1.209928492*E127)
+(27.33619482*F127)
+(-41243.14883*G127)
+(3508.399163*H127)
+(3062.210286*I127)
+(-3438.10791*J127)
+(15157.28728*K127)
+(12509.46131*L127)
+(-15342.70531*M127)
+(-4201.853217*N127)
+(-25291.41891*O127)
+(32832.85351*P127)
+(20219.25907*Q127)
+(44695.0949*R127)</f>
        <v>722781.57670510805</v>
      </c>
      <c r="V127">
        <f>T127-U127</f>
        <v>9886.3432948919944</v>
      </c>
    </row>
    <row r="128" spans="1:22">
      <c r="A128" s="2" t="s">
        <v>59</v>
      </c>
      <c r="B128" s="3">
        <v>45748</v>
      </c>
      <c r="C128" s="2" t="s">
        <v>24</v>
      </c>
      <c r="D128" s="2" t="s">
        <v>28</v>
      </c>
      <c r="E128" s="2">
        <v>71855.09</v>
      </c>
      <c r="F128" s="2">
        <v>5911</v>
      </c>
      <c r="G128" s="2">
        <v>0.19700000000000001</v>
      </c>
      <c r="H128" s="2">
        <v>15</v>
      </c>
      <c r="I128" s="2">
        <v>94.3</v>
      </c>
      <c r="J128" s="2">
        <v>3.55</v>
      </c>
      <c r="K128" s="2">
        <v>0</v>
      </c>
      <c r="L128" s="2">
        <v>4.0999999999999996</v>
      </c>
      <c r="M128" s="5">
        <f>IF(C128="North",1,0)</f>
        <v>0</v>
      </c>
      <c r="N128" s="5">
        <f>IF(C128="South",1,0)</f>
        <v>1</v>
      </c>
      <c r="O128" s="5">
        <f>IF(C128="East",1,0)</f>
        <v>0</v>
      </c>
      <c r="P128" s="5">
        <f>IF(D128="Mall",1,0)</f>
        <v>1</v>
      </c>
      <c r="Q128" s="5">
        <f>IF(D128="High Street",1,0)</f>
        <v>0</v>
      </c>
      <c r="R128" s="5">
        <f>IF(D128="Airport",1,0)</f>
        <v>0</v>
      </c>
      <c r="S128" s="2">
        <v>122698.73</v>
      </c>
      <c r="T128" s="2">
        <v>725847.99</v>
      </c>
      <c r="U128" s="12">
        <f>66915.46892
+(1.209928492*E128)
+(27.33619482*F128)
+(-41243.14883*G128)
+(3508.399163*H128)
+(3062.210286*I128)
+(-3438.10791*J128)
+(15157.28728*K128)
+(12509.46131*L128)
+(-15342.70531*M128)
+(-4201.853217*N128)
+(-25291.41891*O128)
+(32832.85351*P128)
+(20219.25907*Q128)
+(44695.0949*R128)</f>
        <v>716421.26286603429</v>
      </c>
      <c r="V128">
        <f>T128-U128</f>
        <v>9426.7271339657018</v>
      </c>
    </row>
    <row r="129" spans="1:22">
      <c r="A129" s="2" t="s">
        <v>46</v>
      </c>
      <c r="B129" s="3">
        <v>45748</v>
      </c>
      <c r="C129" s="2" t="s">
        <v>27</v>
      </c>
      <c r="D129" s="2" t="s">
        <v>28</v>
      </c>
      <c r="E129" s="2">
        <v>55101.1</v>
      </c>
      <c r="F129" s="2">
        <v>5281</v>
      </c>
      <c r="G129" s="2">
        <v>0.189</v>
      </c>
      <c r="H129" s="2">
        <v>11</v>
      </c>
      <c r="I129" s="2">
        <v>91</v>
      </c>
      <c r="J129" s="2">
        <v>2.7</v>
      </c>
      <c r="K129" s="2">
        <v>0</v>
      </c>
      <c r="L129" s="2">
        <v>4.4000000000000004</v>
      </c>
      <c r="M129" s="5">
        <f>IF(C129="North",1,0)</f>
        <v>0</v>
      </c>
      <c r="N129" s="5">
        <f>IF(C129="South",1,0)</f>
        <v>0</v>
      </c>
      <c r="O129" s="5">
        <f>IF(C129="East",1,0)</f>
        <v>0</v>
      </c>
      <c r="P129" s="5">
        <f>IF(D129="Mall",1,0)</f>
        <v>1</v>
      </c>
      <c r="Q129" s="5">
        <f>IF(D129="High Street",1,0)</f>
        <v>0</v>
      </c>
      <c r="R129" s="5">
        <f>IF(D129="Airport",1,0)</f>
        <v>0</v>
      </c>
      <c r="S129" s="2">
        <v>105628.68</v>
      </c>
      <c r="T129" s="2">
        <v>675177.68</v>
      </c>
      <c r="U129" s="12">
        <f>66915.46892
+(1.209928492*E129)
+(27.33619482*F129)
+(-41243.14883*G129)
+(3508.399163*H129)
+(3062.210286*I129)
+(-3438.10791*J129)
+(15157.28728*K129)
+(12509.46131*L129)
+(-15342.70531*M129)
+(-4201.853217*N129)
+(-25291.41891*O129)
+(32832.85351*P129)
+(20219.25907*Q129)
+(44695.0949*R129)</f>
        <v>665996.46820209129</v>
      </c>
      <c r="V129">
        <f>T129-U129</f>
        <v>9181.2117979087634</v>
      </c>
    </row>
    <row r="130" spans="1:22">
      <c r="A130" s="2" t="s">
        <v>99</v>
      </c>
      <c r="B130" s="3">
        <v>45717</v>
      </c>
      <c r="C130" s="2" t="s">
        <v>24</v>
      </c>
      <c r="D130" s="2" t="s">
        <v>18</v>
      </c>
      <c r="E130" s="2">
        <v>54322.94</v>
      </c>
      <c r="F130" s="2">
        <v>5434</v>
      </c>
      <c r="G130" s="2">
        <v>0.2</v>
      </c>
      <c r="H130" s="2">
        <v>13</v>
      </c>
      <c r="I130" s="2">
        <v>85.7</v>
      </c>
      <c r="J130" s="2">
        <v>10.6</v>
      </c>
      <c r="K130" s="2">
        <v>0</v>
      </c>
      <c r="L130" s="2">
        <v>4.2</v>
      </c>
      <c r="M130" s="5">
        <f>IF(C130="North",1,0)</f>
        <v>0</v>
      </c>
      <c r="N130" s="5">
        <f>IF(C130="South",1,0)</f>
        <v>1</v>
      </c>
      <c r="O130" s="5">
        <f>IF(C130="East",1,0)</f>
        <v>0</v>
      </c>
      <c r="P130" s="5">
        <f>IF(D130="Mall",1,0)</f>
        <v>0</v>
      </c>
      <c r="Q130" s="5">
        <f>IF(D130="High Street",1,0)</f>
        <v>1</v>
      </c>
      <c r="R130" s="5">
        <f>IF(D130="Airport",1,0)</f>
        <v>0</v>
      </c>
      <c r="S130" s="2">
        <v>105192.52</v>
      </c>
      <c r="T130" s="2">
        <v>621677.30000000005</v>
      </c>
      <c r="U130" s="12">
        <f>66915.46892
+(1.209928492*E130)
+(27.33619482*F130)
+(-41243.14883*G130)
+(3508.399163*H130)
+(3062.210286*I130)
+(-3438.10791*J130)
+(15157.28728*K130)
+(12509.46131*L130)
+(-15342.70531*M130)
+(-4201.853217*N130)
+(-25291.41891*O130)
+(32832.85351*P130)
+(20219.25907*Q130)
+(44695.0949*R130)</f>
        <v>613092.40481928643</v>
      </c>
      <c r="V130">
        <f>T130-U130</f>
        <v>8584.8951807136182</v>
      </c>
    </row>
    <row r="131" spans="1:22">
      <c r="A131" s="2" t="s">
        <v>57</v>
      </c>
      <c r="B131" s="3">
        <v>45689</v>
      </c>
      <c r="C131" s="2" t="s">
        <v>27</v>
      </c>
      <c r="D131" s="2" t="s">
        <v>18</v>
      </c>
      <c r="E131" s="2">
        <v>45706.49</v>
      </c>
      <c r="F131" s="2">
        <v>6704</v>
      </c>
      <c r="G131" s="2">
        <v>3.7999999999999999E-2</v>
      </c>
      <c r="H131" s="2">
        <v>15</v>
      </c>
      <c r="I131" s="2">
        <v>94.2</v>
      </c>
      <c r="J131" s="2">
        <v>2.92</v>
      </c>
      <c r="K131" s="2">
        <v>0</v>
      </c>
      <c r="L131" s="2">
        <v>4.2</v>
      </c>
      <c r="M131" s="5">
        <f>IF(C131="North",1,0)</f>
        <v>0</v>
      </c>
      <c r="N131" s="5">
        <f>IF(C131="South",1,0)</f>
        <v>0</v>
      </c>
      <c r="O131" s="5">
        <f>IF(C131="East",1,0)</f>
        <v>0</v>
      </c>
      <c r="P131" s="5">
        <f>IF(D131="Mall",1,0)</f>
        <v>0</v>
      </c>
      <c r="Q131" s="5">
        <f>IF(D131="High Street",1,0)</f>
        <v>1</v>
      </c>
      <c r="R131" s="5">
        <f>IF(D131="Airport",1,0)</f>
        <v>0</v>
      </c>
      <c r="S131" s="2">
        <v>151875.85999999999</v>
      </c>
      <c r="T131" s="2">
        <v>715097.57</v>
      </c>
      <c r="U131" s="12">
        <f>66915.46892
+(1.209928492*E131)
+(27.33619482*F131)
+(-41243.14883*G131)
+(3508.399163*H131)
+(3062.210286*I131)
+(-3438.10791*J131)
+(15157.28728*K131)
+(12509.46131*L131)
+(-15342.70531*M131)
+(-4201.853217*N131)
+(-25291.41891*O131)
+(32832.85351*P131)
+(20219.25907*Q131)
+(44695.0949*R131)</f>
        <v>707717.58171905309</v>
      </c>
      <c r="V131">
        <f>T131-U131</f>
        <v>7379.9882809468545</v>
      </c>
    </row>
    <row r="132" spans="1:22">
      <c r="A132" s="2" t="s">
        <v>96</v>
      </c>
      <c r="B132" s="3">
        <v>45658</v>
      </c>
      <c r="C132" s="2" t="s">
        <v>27</v>
      </c>
      <c r="D132" s="2" t="s">
        <v>18</v>
      </c>
      <c r="E132" s="2">
        <v>55599.56</v>
      </c>
      <c r="F132" s="2">
        <v>5896</v>
      </c>
      <c r="G132" s="2">
        <v>3.5999999999999997E-2</v>
      </c>
      <c r="H132" s="2">
        <v>12</v>
      </c>
      <c r="I132" s="2">
        <v>93.1</v>
      </c>
      <c r="J132" s="2">
        <v>6.13</v>
      </c>
      <c r="K132" s="2">
        <v>0</v>
      </c>
      <c r="L132" s="2">
        <v>3.3</v>
      </c>
      <c r="M132" s="5">
        <f>IF(C132="North",1,0)</f>
        <v>0</v>
      </c>
      <c r="N132" s="5">
        <f>IF(C132="South",1,0)</f>
        <v>0</v>
      </c>
      <c r="O132" s="5">
        <f>IF(C132="East",1,0)</f>
        <v>0</v>
      </c>
      <c r="P132" s="5">
        <f>IF(D132="Mall",1,0)</f>
        <v>0</v>
      </c>
      <c r="Q132" s="5">
        <f>IF(D132="High Street",1,0)</f>
        <v>1</v>
      </c>
      <c r="R132" s="5">
        <f>IF(D132="Airport",1,0)</f>
        <v>0</v>
      </c>
      <c r="S132" s="2">
        <v>126435.42</v>
      </c>
      <c r="T132" s="2">
        <v>668459.37</v>
      </c>
      <c r="U132" s="12">
        <f>66915.46892
+(1.209928492*E132)
+(27.33619482*F132)
+(-41243.14883*G132)
+(3508.399163*H132)
+(3062.210286*I132)
+(-3438.10791*J132)
+(15157.28728*K132)
+(12509.46131*L132)
+(-15342.70531*M132)
+(-4201.853217*N132)
+(-25291.41891*O132)
+(32832.85351*P132)
+(20219.25907*Q132)
+(44695.0949*R132)</f>
        <v>661493.85949480347</v>
      </c>
      <c r="V132">
        <f>T132-U132</f>
        <v>6965.510505196522</v>
      </c>
    </row>
    <row r="133" spans="1:22">
      <c r="A133" s="2" t="s">
        <v>60</v>
      </c>
      <c r="B133" s="3">
        <v>45689</v>
      </c>
      <c r="C133" s="2" t="s">
        <v>15</v>
      </c>
      <c r="D133" s="2" t="s">
        <v>18</v>
      </c>
      <c r="E133" s="2">
        <v>64374.75</v>
      </c>
      <c r="F133" s="2">
        <v>6740</v>
      </c>
      <c r="G133" s="2">
        <v>0.16900000000000001</v>
      </c>
      <c r="H133" s="2">
        <v>18</v>
      </c>
      <c r="I133" s="2">
        <v>87</v>
      </c>
      <c r="J133" s="2">
        <v>2.09</v>
      </c>
      <c r="K133" s="2">
        <v>0</v>
      </c>
      <c r="L133" s="2">
        <v>4.2</v>
      </c>
      <c r="M133" s="5">
        <f>IF(C133="North",1,0)</f>
        <v>0</v>
      </c>
      <c r="N133" s="5">
        <f>IF(C133="South",1,0)</f>
        <v>0</v>
      </c>
      <c r="O133" s="5">
        <f>IF(C133="East",1,0)</f>
        <v>1</v>
      </c>
      <c r="P133" s="5">
        <f>IF(D133="Mall",1,0)</f>
        <v>0</v>
      </c>
      <c r="Q133" s="5">
        <f>IF(D133="High Street",1,0)</f>
        <v>1</v>
      </c>
      <c r="R133" s="5">
        <f>IF(D133="Airport",1,0)</f>
        <v>0</v>
      </c>
      <c r="S133" s="2">
        <v>117319.32</v>
      </c>
      <c r="T133" s="2">
        <v>698492.67</v>
      </c>
      <c r="U133" s="12">
        <f>66915.46892
+(1.209928492*E133)
+(27.33619482*F133)
+(-41243.14883*G133)
+(3508.399163*H133)
+(3062.210286*I133)
+(-3438.10791*J133)
+(15157.28728*K133)
+(12509.46131*L133)
+(-15342.70531*M133)
+(-4201.853217*N133)
+(-25291.41891*O133)
+(32832.85351*P133)
+(20219.25907*Q133)
+(44695.0949*R133)</f>
        <v>691925.58599100716</v>
      </c>
      <c r="V133">
        <f>T133-U133</f>
        <v>6567.0840089928824</v>
      </c>
    </row>
    <row r="134" spans="1:22">
      <c r="A134" s="2" t="s">
        <v>83</v>
      </c>
      <c r="B134" s="3">
        <v>45689</v>
      </c>
      <c r="C134" s="2" t="s">
        <v>15</v>
      </c>
      <c r="D134" s="2" t="s">
        <v>18</v>
      </c>
      <c r="E134" s="2">
        <v>48060.78</v>
      </c>
      <c r="F134" s="2">
        <v>8733</v>
      </c>
      <c r="G134" s="2">
        <v>0</v>
      </c>
      <c r="H134" s="2">
        <v>20</v>
      </c>
      <c r="I134" s="2">
        <v>89.9</v>
      </c>
      <c r="J134" s="2">
        <v>0.8</v>
      </c>
      <c r="K134" s="2">
        <v>0</v>
      </c>
      <c r="L134" s="2">
        <v>3.4</v>
      </c>
      <c r="M134" s="5">
        <f>IF(C134="North",1,0)</f>
        <v>0</v>
      </c>
      <c r="N134" s="5">
        <f>IF(C134="South",1,0)</f>
        <v>0</v>
      </c>
      <c r="O134" s="5">
        <f>IF(C134="East",1,0)</f>
        <v>1</v>
      </c>
      <c r="P134" s="5">
        <f>IF(D134="Mall",1,0)</f>
        <v>0</v>
      </c>
      <c r="Q134" s="5">
        <f>IF(D134="High Street",1,0)</f>
        <v>1</v>
      </c>
      <c r="R134" s="5">
        <f>IF(D134="Airport",1,0)</f>
        <v>0</v>
      </c>
      <c r="S134" s="2">
        <v>133788.04</v>
      </c>
      <c r="T134" s="2">
        <v>750471.34</v>
      </c>
      <c r="U134" s="12">
        <f>66915.46892
+(1.209928492*E134)
+(27.33619482*F134)
+(-41243.14883*G134)
+(3508.399163*H134)
+(3062.210286*I134)
+(-3438.10791*J134)
+(15157.28728*K134)
+(12509.46131*L134)
+(-15342.70531*M134)
+(-4201.853217*N134)
+(-25291.41891*O134)
+(32832.85351*P134)
+(20219.25907*Q134)
+(44695.0949*R134)</f>
        <v>743962.77561020385</v>
      </c>
      <c r="V134">
        <f>T134-U134</f>
        <v>6508.5643897961127</v>
      </c>
    </row>
    <row r="135" spans="1:22">
      <c r="A135" s="2" t="s">
        <v>51</v>
      </c>
      <c r="B135" s="3">
        <v>45748</v>
      </c>
      <c r="C135" s="2" t="s">
        <v>27</v>
      </c>
      <c r="D135" s="2" t="s">
        <v>16</v>
      </c>
      <c r="E135" s="2">
        <v>54968.98</v>
      </c>
      <c r="F135" s="2">
        <v>7816</v>
      </c>
      <c r="G135" s="2">
        <v>0.23200000000000001</v>
      </c>
      <c r="H135" s="2">
        <v>19</v>
      </c>
      <c r="I135" s="2">
        <v>95.7</v>
      </c>
      <c r="J135" s="2">
        <v>7.85</v>
      </c>
      <c r="K135" s="2">
        <v>0</v>
      </c>
      <c r="L135" s="2">
        <v>4.7</v>
      </c>
      <c r="M135" s="5">
        <f>IF(C135="North",1,0)</f>
        <v>0</v>
      </c>
      <c r="N135" s="5">
        <f>IF(C135="South",1,0)</f>
        <v>0</v>
      </c>
      <c r="O135" s="5">
        <f>IF(C135="East",1,0)</f>
        <v>0</v>
      </c>
      <c r="P135" s="5">
        <f>IF(D135="Mall",1,0)</f>
        <v>0</v>
      </c>
      <c r="Q135" s="5">
        <f>IF(D135="High Street",1,0)</f>
        <v>0</v>
      </c>
      <c r="R135" s="5">
        <f>IF(D135="Airport",1,0)</f>
        <v>0</v>
      </c>
      <c r="S135" s="2">
        <v>88342.11</v>
      </c>
      <c r="T135" s="2">
        <v>735480.19</v>
      </c>
      <c r="U135" s="12">
        <f>66915.46892
+(1.209928492*E135)
+(27.33619482*F135)
+(-41243.14883*G135)
+(3508.399163*H135)
+(3062.210286*I135)
+(-3438.10791*J135)
+(15157.28728*K135)
+(12509.46131*L135)
+(-15342.70531*M135)
+(-4201.853217*N135)
+(-25291.41891*O135)
+(32832.85351*P135)
+(20219.25907*Q135)
+(44695.0949*R135)</f>
        <v>729033.72171343816</v>
      </c>
      <c r="V135">
        <f>T135-U135</f>
        <v>6446.4682865617797</v>
      </c>
    </row>
    <row r="136" spans="1:22">
      <c r="A136" s="2" t="s">
        <v>59</v>
      </c>
      <c r="B136" s="3">
        <v>45689</v>
      </c>
      <c r="C136" s="2" t="s">
        <v>24</v>
      </c>
      <c r="D136" s="2" t="s">
        <v>28</v>
      </c>
      <c r="E136" s="2">
        <v>43319.94</v>
      </c>
      <c r="F136" s="2">
        <v>6551</v>
      </c>
      <c r="G136" s="2">
        <v>4.3999999999999997E-2</v>
      </c>
      <c r="H136" s="2">
        <v>13</v>
      </c>
      <c r="I136" s="2">
        <v>99</v>
      </c>
      <c r="J136" s="2">
        <v>5.45</v>
      </c>
      <c r="K136" s="2">
        <v>0</v>
      </c>
      <c r="L136" s="2">
        <v>4.0999999999999996</v>
      </c>
      <c r="M136" s="5">
        <f>IF(C136="North",1,0)</f>
        <v>0</v>
      </c>
      <c r="N136" s="5">
        <f>IF(C136="South",1,0)</f>
        <v>1</v>
      </c>
      <c r="O136" s="5">
        <f>IF(C136="East",1,0)</f>
        <v>0</v>
      </c>
      <c r="P136" s="5">
        <f>IF(D136="Mall",1,0)</f>
        <v>1</v>
      </c>
      <c r="Q136" s="5">
        <f>IF(D136="High Street",1,0)</f>
        <v>0</v>
      </c>
      <c r="R136" s="5">
        <f>IF(D136="Airport",1,0)</f>
        <v>0</v>
      </c>
      <c r="S136" s="2">
        <v>133650.51</v>
      </c>
      <c r="T136" s="2">
        <v>712868.35</v>
      </c>
      <c r="U136" s="12">
        <f>66915.46892
+(1.209928492*E136)
+(27.33619482*F136)
+(-41243.14883*G136)
+(3508.399163*H136)
+(3062.210286*I136)
+(-3438.10791*J136)
+(15157.28728*K136)
+(12509.46131*L136)
+(-15342.70531*M136)
+(-4201.853217*N136)
+(-25291.41891*O136)
+(32832.85351*P136)
+(20219.25907*Q136)
+(44695.0949*R136)</f>
        <v>706544.32330253045</v>
      </c>
      <c r="V136">
        <f>T136-U136</f>
        <v>6324.026697469526</v>
      </c>
    </row>
    <row r="137" spans="1:22">
      <c r="A137" s="2" t="s">
        <v>54</v>
      </c>
      <c r="B137" s="3">
        <v>45748</v>
      </c>
      <c r="C137" s="2" t="s">
        <v>15</v>
      </c>
      <c r="D137" s="2" t="s">
        <v>18</v>
      </c>
      <c r="E137" s="2">
        <v>66455.8</v>
      </c>
      <c r="F137" s="2">
        <v>10836</v>
      </c>
      <c r="G137" s="2">
        <v>8.8999999999999996E-2</v>
      </c>
      <c r="H137" s="2">
        <v>25</v>
      </c>
      <c r="I137" s="2">
        <v>85</v>
      </c>
      <c r="J137" s="2">
        <v>9.77</v>
      </c>
      <c r="K137" s="2">
        <v>0</v>
      </c>
      <c r="L137" s="2">
        <v>4.5</v>
      </c>
      <c r="M137" s="5">
        <f>IF(C137="North",1,0)</f>
        <v>0</v>
      </c>
      <c r="N137" s="5">
        <f>IF(C137="South",1,0)</f>
        <v>0</v>
      </c>
      <c r="O137" s="5">
        <f>IF(C137="East",1,0)</f>
        <v>1</v>
      </c>
      <c r="P137" s="5">
        <f>IF(D137="Mall",1,0)</f>
        <v>0</v>
      </c>
      <c r="Q137" s="5">
        <f>IF(D137="High Street",1,0)</f>
        <v>1</v>
      </c>
      <c r="R137" s="5">
        <f>IF(D137="Airport",1,0)</f>
        <v>0</v>
      </c>
      <c r="S137" s="2">
        <v>131325.67000000001</v>
      </c>
      <c r="T137" s="2">
        <v>811452.72</v>
      </c>
      <c r="U137" s="12">
        <f>66915.46892
+(1.209928492*E137)
+(27.33619482*F137)
+(-41243.14883*G137)
+(3508.399163*H137)
+(3062.210286*I137)
+(-3438.10791*J137)
+(15157.28728*K137)
+(12509.46131*L137)
+(-15342.70531*M137)
+(-4201.853217*N137)
+(-25291.41891*O137)
+(32832.85351*P137)
+(20219.25907*Q137)
+(44695.0949*R137)</f>
        <v>805494.55678160361</v>
      </c>
      <c r="V137">
        <f>T137-U137</f>
        <v>5958.1632183963666</v>
      </c>
    </row>
    <row r="138" spans="1:22">
      <c r="A138" s="2" t="s">
        <v>69</v>
      </c>
      <c r="B138" s="3">
        <v>45689</v>
      </c>
      <c r="C138" s="2" t="s">
        <v>15</v>
      </c>
      <c r="D138" s="2" t="s">
        <v>18</v>
      </c>
      <c r="E138" s="2">
        <v>55788.61</v>
      </c>
      <c r="F138" s="2">
        <v>2312</v>
      </c>
      <c r="G138" s="2">
        <v>5.8000000000000003E-2</v>
      </c>
      <c r="H138" s="2">
        <v>10</v>
      </c>
      <c r="I138" s="2">
        <v>91.3</v>
      </c>
      <c r="J138" s="2">
        <v>1.99</v>
      </c>
      <c r="K138" s="2">
        <v>0</v>
      </c>
      <c r="L138" s="2">
        <v>3.8</v>
      </c>
      <c r="M138" s="5">
        <f>IF(C138="North",1,0)</f>
        <v>0</v>
      </c>
      <c r="N138" s="5">
        <f>IF(C138="South",1,0)</f>
        <v>0</v>
      </c>
      <c r="O138" s="5">
        <f>IF(C138="East",1,0)</f>
        <v>1</v>
      </c>
      <c r="P138" s="5">
        <f>IF(D138="Mall",1,0)</f>
        <v>0</v>
      </c>
      <c r="Q138" s="5">
        <f>IF(D138="High Street",1,0)</f>
        <v>1</v>
      </c>
      <c r="R138" s="5">
        <f>IF(D138="Airport",1,0)</f>
        <v>0</v>
      </c>
      <c r="S138" s="2">
        <v>97144.58</v>
      </c>
      <c r="T138" s="2">
        <v>550962.93000000005</v>
      </c>
      <c r="U138" s="12">
        <f>66915.46892
+(1.209928492*E138)
+(27.33619482*F138)
+(-41243.14883*G138)
+(3508.399163*H138)
+(3062.210286*I138)
+(-3438.10791*J138)
+(15157.28728*K138)
+(12509.46131*L138)
+(-15342.70531*M138)
+(-4201.853217*N138)
+(-25291.41891*O138)
+(32832.85351*P138)
+(20219.25907*Q138)
+(44695.0949*R138)</f>
        <v>545510.62661867612</v>
      </c>
      <c r="V138">
        <f>T138-U138</f>
        <v>5452.3033813239308</v>
      </c>
    </row>
    <row r="139" spans="1:22">
      <c r="A139" s="2" t="s">
        <v>87</v>
      </c>
      <c r="B139" s="3">
        <v>45658</v>
      </c>
      <c r="C139" s="2" t="s">
        <v>27</v>
      </c>
      <c r="D139" s="2" t="s">
        <v>18</v>
      </c>
      <c r="E139" s="2">
        <v>14519.37</v>
      </c>
      <c r="F139" s="2">
        <v>3047</v>
      </c>
      <c r="G139" s="2">
        <v>0.13500000000000001</v>
      </c>
      <c r="H139" s="2">
        <v>10</v>
      </c>
      <c r="I139" s="2">
        <v>90.3</v>
      </c>
      <c r="J139" s="2">
        <v>6.62</v>
      </c>
      <c r="K139" s="2">
        <v>0</v>
      </c>
      <c r="L139" s="2">
        <v>4.2</v>
      </c>
      <c r="M139" s="5">
        <f>IF(C139="North",1,0)</f>
        <v>0</v>
      </c>
      <c r="N139" s="5">
        <f>IF(C139="South",1,0)</f>
        <v>0</v>
      </c>
      <c r="O139" s="5">
        <f>IF(C139="East",1,0)</f>
        <v>0</v>
      </c>
      <c r="P139" s="5">
        <f>IF(D139="Mall",1,0)</f>
        <v>0</v>
      </c>
      <c r="Q139" s="5">
        <f>IF(D139="High Street",1,0)</f>
        <v>1</v>
      </c>
      <c r="R139" s="5">
        <f>IF(D139="Airport",1,0)</f>
        <v>0</v>
      </c>
      <c r="S139" s="2">
        <v>68426.210000000006</v>
      </c>
      <c r="T139" s="2">
        <v>528852.62</v>
      </c>
      <c r="U139" s="12">
        <f>66915.46892
+(1.209928492*E139)
+(27.33619482*F139)
+(-41243.14883*G139)
+(3508.399163*H139)
+(3062.210286*I139)
+(-3438.10791*J139)
+(15157.28728*K139)
+(12509.46131*L139)
+(-15342.70531*M139)
+(-4201.853217*N139)
+(-25291.41891*O139)
+(32832.85351*P139)
+(20219.25907*Q139)
+(44695.0949*R139)</f>
        <v>523808.73155698006</v>
      </c>
      <c r="V139">
        <f>T139-U139</f>
        <v>5043.8884430199396</v>
      </c>
    </row>
    <row r="140" spans="1:22">
      <c r="A140" s="2" t="s">
        <v>92</v>
      </c>
      <c r="B140" s="3">
        <v>45717</v>
      </c>
      <c r="C140" s="2" t="s">
        <v>24</v>
      </c>
      <c r="D140" s="2" t="s">
        <v>18</v>
      </c>
      <c r="E140" s="2">
        <v>66104.19</v>
      </c>
      <c r="F140" s="2">
        <v>5745</v>
      </c>
      <c r="G140" s="2">
        <v>7.0000000000000007E-2</v>
      </c>
      <c r="H140" s="2">
        <v>17</v>
      </c>
      <c r="I140" s="2">
        <v>95.8</v>
      </c>
      <c r="J140" s="2">
        <v>3.15</v>
      </c>
      <c r="K140" s="2">
        <v>0</v>
      </c>
      <c r="L140" s="2">
        <v>4</v>
      </c>
      <c r="M140" s="5">
        <f>IF(C140="North",1,0)</f>
        <v>0</v>
      </c>
      <c r="N140" s="5">
        <f>IF(C140="South",1,0)</f>
        <v>1</v>
      </c>
      <c r="O140" s="5">
        <f>IF(C140="East",1,0)</f>
        <v>0</v>
      </c>
      <c r="P140" s="5">
        <f>IF(D140="Mall",1,0)</f>
        <v>0</v>
      </c>
      <c r="Q140" s="5">
        <f>IF(D140="High Street",1,0)</f>
        <v>1</v>
      </c>
      <c r="R140" s="5">
        <f>IF(D140="Airport",1,0)</f>
        <v>0</v>
      </c>
      <c r="S140" s="2">
        <v>127231.74</v>
      </c>
      <c r="T140" s="2">
        <v>714083.68</v>
      </c>
      <c r="U140" s="12">
        <f>66915.46892
+(1.209928492*E140)
+(27.33619482*F140)
+(-41243.14883*G140)
+(3508.399163*H140)
+(3062.210286*I140)
+(-3438.10791*J140)
+(15157.28728*K140)
+(12509.46131*L140)
+(-15342.70531*M140)
+(-4201.853217*N140)
+(-25291.41891*O140)
+(32832.85351*P140)
+(20219.25907*Q140)
+(44695.0949*R140)</f>
        <v>709283.97301068157</v>
      </c>
      <c r="V140">
        <f>T140-U140</f>
        <v>4799.7069893184816</v>
      </c>
    </row>
    <row r="141" spans="1:22">
      <c r="A141" s="2" t="s">
        <v>25</v>
      </c>
      <c r="B141" s="3">
        <v>45717</v>
      </c>
      <c r="C141" s="2" t="s">
        <v>20</v>
      </c>
      <c r="D141" s="2" t="s">
        <v>16</v>
      </c>
      <c r="E141" s="2">
        <v>42267.37</v>
      </c>
      <c r="F141" s="2">
        <v>3364</v>
      </c>
      <c r="G141" s="2">
        <v>0.16</v>
      </c>
      <c r="H141" s="2">
        <v>13</v>
      </c>
      <c r="I141" s="2">
        <v>82</v>
      </c>
      <c r="J141" s="2">
        <v>1.61</v>
      </c>
      <c r="K141" s="2">
        <v>1</v>
      </c>
      <c r="L141" s="2">
        <v>4.5999999999999996</v>
      </c>
      <c r="M141" s="5">
        <f>IF(C141="North",1,0)</f>
        <v>1</v>
      </c>
      <c r="N141" s="5">
        <f>IF(C141="South",1,0)</f>
        <v>0</v>
      </c>
      <c r="O141" s="5">
        <f>IF(C141="East",1,0)</f>
        <v>0</v>
      </c>
      <c r="P141" s="5">
        <f>IF(D141="Mall",1,0)</f>
        <v>0</v>
      </c>
      <c r="Q141" s="5">
        <f>IF(D141="High Street",1,0)</f>
        <v>0</v>
      </c>
      <c r="R141" s="5">
        <f>IF(D141="Airport",1,0)</f>
        <v>0</v>
      </c>
      <c r="S141" s="2">
        <v>115201.76</v>
      </c>
      <c r="T141" s="2">
        <v>555929.4</v>
      </c>
      <c r="U141" s="12">
        <f>66915.46892
+(1.209928492*E141)
+(27.33619482*F141)
+(-41243.14883*G141)
+(3508.399163*H141)
+(3062.210286*I141)
+(-3438.10791*J141)
+(15157.28728*K141)
+(12509.46131*L141)
+(-15342.70531*M141)
+(-4201.853217*N141)
+(-25291.41891*O141)
+(32832.85351*P141)
+(20219.25907*Q141)
+(44695.0949*R141)</f>
        <v>551949.20255848602</v>
      </c>
      <c r="V141">
        <f>T141-U141</f>
        <v>3980.1974415139994</v>
      </c>
    </row>
    <row r="142" spans="1:22">
      <c r="A142" s="2" t="s">
        <v>59</v>
      </c>
      <c r="B142" s="3">
        <v>45658</v>
      </c>
      <c r="C142" s="2" t="s">
        <v>24</v>
      </c>
      <c r="D142" s="2" t="s">
        <v>28</v>
      </c>
      <c r="E142" s="2">
        <v>51575.68</v>
      </c>
      <c r="F142" s="2">
        <v>5329</v>
      </c>
      <c r="G142" s="2">
        <v>4.7E-2</v>
      </c>
      <c r="H142" s="2">
        <v>17</v>
      </c>
      <c r="I142" s="2">
        <v>88.1</v>
      </c>
      <c r="J142" s="2">
        <v>19.78</v>
      </c>
      <c r="K142" s="2">
        <v>0</v>
      </c>
      <c r="L142" s="2">
        <v>3.8</v>
      </c>
      <c r="M142" s="5">
        <f>IF(C142="North",1,0)</f>
        <v>0</v>
      </c>
      <c r="N142" s="5">
        <f>IF(C142="South",1,0)</f>
        <v>1</v>
      </c>
      <c r="O142" s="5">
        <f>IF(C142="East",1,0)</f>
        <v>0</v>
      </c>
      <c r="P142" s="5">
        <f>IF(D142="Mall",1,0)</f>
        <v>1</v>
      </c>
      <c r="Q142" s="5">
        <f>IF(D142="High Street",1,0)</f>
        <v>0</v>
      </c>
      <c r="R142" s="5">
        <f>IF(D142="Airport",1,0)</f>
        <v>0</v>
      </c>
      <c r="S142" s="2">
        <v>84828.93</v>
      </c>
      <c r="T142" s="2">
        <v>614024.91</v>
      </c>
      <c r="U142" s="12">
        <f>66915.46892
+(1.209928492*E142)
+(27.33619482*F142)
+(-41243.14883*G142)
+(3508.399163*H142)
+(3062.210286*I142)
+(-3438.10791*J142)
+(15157.28728*K142)
+(12509.46131*L142)
+(-15342.70531*M142)
+(-4201.853217*N142)
+(-25291.41891*O142)
+(32832.85351*P142)
+(20219.25907*Q142)
+(44695.0949*R142)</f>
        <v>610639.19862584467</v>
      </c>
      <c r="V142">
        <f>T142-U142</f>
        <v>3385.7113741553621</v>
      </c>
    </row>
    <row r="143" spans="1:22">
      <c r="A143" s="2" t="s">
        <v>67</v>
      </c>
      <c r="B143" s="3">
        <v>45748</v>
      </c>
      <c r="C143" s="2" t="s">
        <v>27</v>
      </c>
      <c r="D143" s="2" t="s">
        <v>16</v>
      </c>
      <c r="E143" s="2">
        <v>57948.88</v>
      </c>
      <c r="F143" s="2">
        <v>10741</v>
      </c>
      <c r="G143" s="2">
        <v>7.0000000000000007E-2</v>
      </c>
      <c r="H143" s="2">
        <v>25</v>
      </c>
      <c r="I143" s="2">
        <v>90.1</v>
      </c>
      <c r="J143" s="2">
        <v>4.03</v>
      </c>
      <c r="K143" s="2">
        <v>0</v>
      </c>
      <c r="L143" s="2">
        <v>3.1</v>
      </c>
      <c r="M143" s="5">
        <f>IF(C143="North",1,0)</f>
        <v>0</v>
      </c>
      <c r="N143" s="5">
        <f>IF(C143="South",1,0)</f>
        <v>0</v>
      </c>
      <c r="O143" s="5">
        <f>IF(C143="East",1,0)</f>
        <v>0</v>
      </c>
      <c r="P143" s="5">
        <f>IF(D143="Mall",1,0)</f>
        <v>0</v>
      </c>
      <c r="Q143" s="5">
        <f>IF(D143="High Street",1,0)</f>
        <v>0</v>
      </c>
      <c r="R143" s="5">
        <f>IF(D143="Airport",1,0)</f>
        <v>0</v>
      </c>
      <c r="S143" s="2">
        <v>172699.95</v>
      </c>
      <c r="T143" s="2">
        <v>819660.59</v>
      </c>
      <c r="U143" s="12">
        <f>66915.46892
+(1.209928492*E143)
+(27.33619482*F143)
+(-41243.14883*G143)
+(3508.399163*H143)
+(3062.210286*I143)
+(-3438.10791*J143)
+(15157.28728*K143)
+(12509.46131*L143)
+(-15342.70531*M143)
+(-4201.853217*N143)
+(-25291.41891*O143)
+(32832.85351*P143)
+(20219.25907*Q143)
+(44695.0949*R143)</f>
        <v>816299.39908230887</v>
      </c>
      <c r="V143">
        <f>T143-U143</f>
        <v>3361.1909176910995</v>
      </c>
    </row>
    <row r="144" spans="1:22">
      <c r="A144" s="2" t="s">
        <v>81</v>
      </c>
      <c r="B144" s="3">
        <v>45748</v>
      </c>
      <c r="C144" s="2" t="s">
        <v>27</v>
      </c>
      <c r="D144" s="2" t="s">
        <v>28</v>
      </c>
      <c r="E144" s="2">
        <v>26248.1</v>
      </c>
      <c r="F144" s="2">
        <v>9314</v>
      </c>
      <c r="G144" s="2">
        <v>0.186</v>
      </c>
      <c r="H144" s="2">
        <v>21</v>
      </c>
      <c r="I144" s="2">
        <v>83.7</v>
      </c>
      <c r="J144" s="2">
        <v>4.62</v>
      </c>
      <c r="K144" s="2">
        <v>0</v>
      </c>
      <c r="L144" s="2">
        <v>3.3</v>
      </c>
      <c r="M144" s="5">
        <f>IF(C144="North",1,0)</f>
        <v>0</v>
      </c>
      <c r="N144" s="5">
        <f>IF(C144="South",1,0)</f>
        <v>0</v>
      </c>
      <c r="O144" s="5">
        <f>IF(C144="East",1,0)</f>
        <v>0</v>
      </c>
      <c r="P144" s="5">
        <f>IF(D144="Mall",1,0)</f>
        <v>1</v>
      </c>
      <c r="Q144" s="5">
        <f>IF(D144="High Street",1,0)</f>
        <v>0</v>
      </c>
      <c r="R144" s="5">
        <f>IF(D144="Airport",1,0)</f>
        <v>0</v>
      </c>
      <c r="S144" s="2">
        <v>117593.97</v>
      </c>
      <c r="T144" s="2">
        <v>737070.18</v>
      </c>
      <c r="U144" s="12">
        <f>66915.46892
+(1.209928492*E144)
+(27.33619482*F144)
+(-41243.14883*G144)
+(3508.399163*H144)
+(3062.210286*I144)
+(-3438.10791*J144)
+(15157.28728*K144)
+(12509.46131*L144)
+(-15342.70531*M144)
+(-4201.853217*N144)
+(-25291.41891*O144)
+(32832.85351*P144)
+(20219.25907*Q144)
+(44695.0949*R144)</f>
        <v>733825.28649196518</v>
      </c>
      <c r="V144">
        <f>T144-U144</f>
        <v>3244.8935080348747</v>
      </c>
    </row>
    <row r="145" spans="1:22">
      <c r="A145" s="2" t="s">
        <v>44</v>
      </c>
      <c r="B145" s="3">
        <v>45717</v>
      </c>
      <c r="C145" s="2" t="s">
        <v>24</v>
      </c>
      <c r="D145" s="2" t="s">
        <v>28</v>
      </c>
      <c r="E145" s="2">
        <v>82116.19</v>
      </c>
      <c r="F145" s="2">
        <v>5988</v>
      </c>
      <c r="G145" s="2">
        <v>0.04</v>
      </c>
      <c r="H145" s="2">
        <v>17</v>
      </c>
      <c r="I145" s="2">
        <v>91.8</v>
      </c>
      <c r="J145" s="2">
        <v>5.75</v>
      </c>
      <c r="K145" s="2">
        <v>0</v>
      </c>
      <c r="L145" s="2">
        <v>4.7</v>
      </c>
      <c r="M145" s="5">
        <f>IF(C145="North",1,0)</f>
        <v>0</v>
      </c>
      <c r="N145" s="5">
        <f>IF(C145="South",1,0)</f>
        <v>1</v>
      </c>
      <c r="O145" s="5">
        <f>IF(C145="East",1,0)</f>
        <v>0</v>
      </c>
      <c r="P145" s="5">
        <f>IF(D145="Mall",1,0)</f>
        <v>1</v>
      </c>
      <c r="Q145" s="5">
        <f>IF(D145="High Street",1,0)</f>
        <v>0</v>
      </c>
      <c r="R145" s="5">
        <f>IF(D145="Airport",1,0)</f>
        <v>0</v>
      </c>
      <c r="S145" s="2">
        <v>129386.43</v>
      </c>
      <c r="T145" s="2">
        <v>739852.58</v>
      </c>
      <c r="U145" s="12">
        <f>66915.46892
+(1.209928492*E145)
+(27.33619482*F145)
+(-41243.14883*G145)
+(3508.399163*H145)
+(3062.210286*I145)
+(-3438.10791*J145)
+(15157.28728*K145)
+(12509.46131*L145)
+(-15342.70531*M145)
+(-4201.853217*N145)
+(-25291.41891*O145)
+(32832.85351*P145)
+(20219.25907*Q145)
+(44695.0949*R145)</f>
        <v>736719.63347774558</v>
      </c>
      <c r="V145">
        <f>T145-U145</f>
        <v>3132.9465222543804</v>
      </c>
    </row>
    <row r="146" spans="1:22">
      <c r="A146" s="2" t="s">
        <v>44</v>
      </c>
      <c r="B146" s="3">
        <v>45748</v>
      </c>
      <c r="C146" s="2" t="s">
        <v>24</v>
      </c>
      <c r="D146" s="2" t="s">
        <v>28</v>
      </c>
      <c r="E146" s="2">
        <v>31207.51</v>
      </c>
      <c r="F146" s="2">
        <v>3701</v>
      </c>
      <c r="G146" s="2">
        <v>4.2999999999999997E-2</v>
      </c>
      <c r="H146" s="2">
        <v>11</v>
      </c>
      <c r="I146" s="2">
        <v>84.7</v>
      </c>
      <c r="J146" s="2">
        <v>0.33</v>
      </c>
      <c r="K146" s="2">
        <v>0</v>
      </c>
      <c r="L146" s="2">
        <v>4.3</v>
      </c>
      <c r="M146" s="5">
        <f>IF(C146="North",1,0)</f>
        <v>0</v>
      </c>
      <c r="N146" s="5">
        <f>IF(C146="South",1,0)</f>
        <v>1</v>
      </c>
      <c r="O146" s="5">
        <f>IF(C146="East",1,0)</f>
        <v>0</v>
      </c>
      <c r="P146" s="5">
        <f>IF(D146="Mall",1,0)</f>
        <v>1</v>
      </c>
      <c r="Q146" s="5">
        <f>IF(D146="High Street",1,0)</f>
        <v>0</v>
      </c>
      <c r="R146" s="5">
        <f>IF(D146="Airport",1,0)</f>
        <v>0</v>
      </c>
      <c r="S146" s="2">
        <v>73927.850000000006</v>
      </c>
      <c r="T146" s="2">
        <v>586307.22</v>
      </c>
      <c r="U146" s="12">
        <f>66915.46892
+(1.209928492*E146)
+(27.33619482*F146)
+(-41243.14883*G146)
+(3508.399163*H146)
+(3062.210286*I146)
+(-3438.10791*J146)
+(15157.28728*K146)
+(12509.46131*L146)
+(-15342.70531*M146)
+(-4201.853217*N146)
+(-25291.41891*O146)
+(32832.85351*P146)
+(20219.25907*Q146)
+(44695.0949*R146)</f>
        <v>583320.83639540488</v>
      </c>
      <c r="V146">
        <f>T146-U146</f>
        <v>2986.3836045950884</v>
      </c>
    </row>
    <row r="147" spans="1:22">
      <c r="A147" s="2" t="s">
        <v>32</v>
      </c>
      <c r="B147" s="3">
        <v>45689</v>
      </c>
      <c r="C147" s="2" t="s">
        <v>15</v>
      </c>
      <c r="D147" s="2" t="s">
        <v>28</v>
      </c>
      <c r="E147" s="2">
        <v>46123.88</v>
      </c>
      <c r="F147" s="2">
        <v>3227</v>
      </c>
      <c r="G147" s="2">
        <v>0.14299999999999999</v>
      </c>
      <c r="H147" s="2">
        <v>10</v>
      </c>
      <c r="I147" s="2">
        <v>75.400000000000006</v>
      </c>
      <c r="J147" s="2">
        <v>1.06</v>
      </c>
      <c r="K147" s="2">
        <v>0</v>
      </c>
      <c r="L147" s="2">
        <v>4.4000000000000004</v>
      </c>
      <c r="M147" s="5">
        <f>IF(C147="North",1,0)</f>
        <v>0</v>
      </c>
      <c r="N147" s="5">
        <f>IF(C147="South",1,0)</f>
        <v>0</v>
      </c>
      <c r="O147" s="5">
        <f>IF(C147="East",1,0)</f>
        <v>1</v>
      </c>
      <c r="P147" s="5">
        <f>IF(D147="Mall",1,0)</f>
        <v>1</v>
      </c>
      <c r="Q147" s="5">
        <f>IF(D147="High Street",1,0)</f>
        <v>0</v>
      </c>
      <c r="R147" s="5">
        <f>IF(D147="Airport",1,0)</f>
        <v>0</v>
      </c>
      <c r="S147" s="2">
        <v>60681.32</v>
      </c>
      <c r="T147" s="2">
        <v>532644.46</v>
      </c>
      <c r="U147" s="12">
        <f>66915.46892
+(1.209928492*E147)
+(27.33619482*F147)
+(-41243.14883*G147)
+(3508.399163*H147)
+(3062.210286*I147)
+(-3438.10791*J147)
+(15157.28728*K147)
+(12509.46131*L147)
+(-15342.70531*M147)
+(-4201.853217*N147)
+(-25291.41891*O147)
+(32832.85351*P147)
+(20219.25907*Q147)
+(44695.0949*R147)</f>
        <v>529951.51306883898</v>
      </c>
      <c r="V147">
        <f>T147-U147</f>
        <v>2692.9469311609864</v>
      </c>
    </row>
    <row r="148" spans="1:22">
      <c r="A148" s="2" t="s">
        <v>85</v>
      </c>
      <c r="B148" s="3">
        <v>45658</v>
      </c>
      <c r="C148" s="2" t="s">
        <v>24</v>
      </c>
      <c r="D148" s="2" t="s">
        <v>21</v>
      </c>
      <c r="E148" s="2">
        <v>81801.8</v>
      </c>
      <c r="F148" s="2">
        <v>6782</v>
      </c>
      <c r="G148" s="2">
        <v>0.05</v>
      </c>
      <c r="H148" s="2">
        <v>16</v>
      </c>
      <c r="I148" s="2">
        <v>99</v>
      </c>
      <c r="J148" s="2">
        <v>9.5399999999999991</v>
      </c>
      <c r="K148" s="2">
        <v>0</v>
      </c>
      <c r="L148" s="2">
        <v>3.7</v>
      </c>
      <c r="M148" s="5">
        <f>IF(C148="North",1,0)</f>
        <v>0</v>
      </c>
      <c r="N148" s="5">
        <f>IF(C148="South",1,0)</f>
        <v>1</v>
      </c>
      <c r="O148" s="5">
        <f>IF(C148="East",1,0)</f>
        <v>0</v>
      </c>
      <c r="P148" s="5">
        <f>IF(D148="Mall",1,0)</f>
        <v>0</v>
      </c>
      <c r="Q148" s="5">
        <f>IF(D148="High Street",1,0)</f>
        <v>0</v>
      </c>
      <c r="R148" s="5">
        <f>IF(D148="Airport",1,0)</f>
        <v>1</v>
      </c>
      <c r="S148" s="2">
        <v>148322.43</v>
      </c>
      <c r="T148" s="2">
        <v>764949</v>
      </c>
      <c r="U148" s="12">
        <f>66915.46892
+(1.209928492*E148)
+(27.33619482*F148)
+(-41243.14883*G148)
+(3508.399163*H148)
+(3062.210286*I148)
+(-3438.10791*J148)
+(15157.28728*K148)
+(12509.46131*L148)
+(-15342.70531*M148)
+(-4201.853217*N148)
+(-25291.41891*O148)
+(32832.85351*P148)
+(20219.25907*Q148)
+(44695.0949*R148)</f>
        <v>762493.61725522566</v>
      </c>
      <c r="V148">
        <f>T148-U148</f>
        <v>2455.3827447743388</v>
      </c>
    </row>
    <row r="149" spans="1:22">
      <c r="A149" s="2" t="s">
        <v>101</v>
      </c>
      <c r="B149" s="3">
        <v>45748</v>
      </c>
      <c r="C149" s="2" t="s">
        <v>15</v>
      </c>
      <c r="D149" s="2" t="s">
        <v>16</v>
      </c>
      <c r="E149" s="2">
        <v>40553.11</v>
      </c>
      <c r="F149" s="2">
        <v>5317</v>
      </c>
      <c r="G149" s="2">
        <v>0.16500000000000001</v>
      </c>
      <c r="H149" s="2">
        <v>17</v>
      </c>
      <c r="I149" s="2">
        <v>84.3</v>
      </c>
      <c r="J149" s="2">
        <v>11.82</v>
      </c>
      <c r="K149" s="2">
        <v>0</v>
      </c>
      <c r="L149" s="2">
        <v>4.0999999999999996</v>
      </c>
      <c r="M149" s="5">
        <f>IF(C149="North",1,0)</f>
        <v>0</v>
      </c>
      <c r="N149" s="5">
        <f>IF(C149="South",1,0)</f>
        <v>0</v>
      </c>
      <c r="O149" s="5">
        <f>IF(C149="East",1,0)</f>
        <v>1</v>
      </c>
      <c r="P149" s="5">
        <f>IF(D149="Mall",1,0)</f>
        <v>0</v>
      </c>
      <c r="Q149" s="5">
        <f>IF(D149="High Street",1,0)</f>
        <v>0</v>
      </c>
      <c r="R149" s="5">
        <f>IF(D149="Airport",1,0)</f>
        <v>0</v>
      </c>
      <c r="S149" s="2">
        <v>71443.61</v>
      </c>
      <c r="T149" s="2">
        <v>559660.84</v>
      </c>
      <c r="U149" s="12">
        <f>66915.46892
+(1.209928492*E149)
+(27.33619482*F149)
+(-41243.14883*G149)
+(3508.399163*H149)
+(3062.210286*I149)
+(-3438.10791*J149)
+(15157.28728*K149)
+(12509.46131*L149)
+(-15342.70531*M149)
+(-4201.853217*N149)
+(-25291.41891*O149)
+(32832.85351*P149)
+(20219.25907*Q149)
+(44695.0949*R149)</f>
        <v>557669.31029480009</v>
      </c>
      <c r="V149">
        <f>T149-U149</f>
        <v>1991.5297051998787</v>
      </c>
    </row>
    <row r="150" spans="1:22">
      <c r="A150" s="2" t="s">
        <v>32</v>
      </c>
      <c r="B150" s="3">
        <v>45748</v>
      </c>
      <c r="C150" s="2" t="s">
        <v>15</v>
      </c>
      <c r="D150" s="2" t="s">
        <v>28</v>
      </c>
      <c r="E150" s="2">
        <v>64882.14</v>
      </c>
      <c r="F150" s="2">
        <v>3642</v>
      </c>
      <c r="G150" s="2">
        <v>1.9E-2</v>
      </c>
      <c r="H150" s="2">
        <v>13</v>
      </c>
      <c r="I150" s="2">
        <v>87.8</v>
      </c>
      <c r="J150" s="2">
        <v>4.5199999999999996</v>
      </c>
      <c r="K150" s="2">
        <v>0</v>
      </c>
      <c r="L150" s="2">
        <v>4.2</v>
      </c>
      <c r="M150" s="5">
        <f>IF(C150="North",1,0)</f>
        <v>0</v>
      </c>
      <c r="N150" s="5">
        <f>IF(C150="South",1,0)</f>
        <v>0</v>
      </c>
      <c r="O150" s="5">
        <f>IF(C150="East",1,0)</f>
        <v>1</v>
      </c>
      <c r="P150" s="5">
        <f>IF(D150="Mall",1,0)</f>
        <v>1</v>
      </c>
      <c r="Q150" s="5">
        <f>IF(D150="High Street",1,0)</f>
        <v>0</v>
      </c>
      <c r="R150" s="5">
        <f>IF(D150="Airport",1,0)</f>
        <v>0</v>
      </c>
      <c r="S150" s="2">
        <v>106958.74</v>
      </c>
      <c r="T150" s="2">
        <v>605178</v>
      </c>
      <c r="U150" s="12">
        <f>66915.46892
+(1.209928492*E150)
+(27.33619482*F150)
+(-41243.14883*G150)
+(3508.399163*H150)
+(3062.210286*I150)
+(-3438.10791*J150)
+(15157.28728*K150)
+(12509.46131*L150)
+(-15342.70531*M150)
+(-4201.853217*N150)
+(-25291.41891*O150)
+(32832.85351*P150)
+(20219.25907*Q150)
+(44695.0949*R150)</f>
        <v>603205.19701320282</v>
      </c>
      <c r="V150">
        <f>T150-U150</f>
        <v>1972.8029867971782</v>
      </c>
    </row>
    <row r="151" spans="1:22">
      <c r="A151" s="2" t="s">
        <v>90</v>
      </c>
      <c r="B151" s="3">
        <v>45658</v>
      </c>
      <c r="C151" s="2" t="s">
        <v>27</v>
      </c>
      <c r="D151" s="2" t="s">
        <v>18</v>
      </c>
      <c r="E151" s="2">
        <v>50532.17</v>
      </c>
      <c r="F151" s="2">
        <v>5689</v>
      </c>
      <c r="G151" s="2">
        <v>5.1999999999999998E-2</v>
      </c>
      <c r="H151" s="2">
        <v>17</v>
      </c>
      <c r="I151" s="2">
        <v>85.6</v>
      </c>
      <c r="J151" s="2">
        <v>6.23</v>
      </c>
      <c r="K151" s="2">
        <v>0</v>
      </c>
      <c r="L151" s="2">
        <v>3.3</v>
      </c>
      <c r="M151" s="5">
        <f>IF(C151="North",1,0)</f>
        <v>0</v>
      </c>
      <c r="N151" s="5">
        <f>IF(C151="South",1,0)</f>
        <v>0</v>
      </c>
      <c r="O151" s="5">
        <f>IF(C151="East",1,0)</f>
        <v>0</v>
      </c>
      <c r="P151" s="5">
        <f>IF(D151="Mall",1,0)</f>
        <v>0</v>
      </c>
      <c r="Q151" s="5">
        <f>IF(D151="High Street",1,0)</f>
        <v>1</v>
      </c>
      <c r="R151" s="5">
        <f>IF(D151="Airport",1,0)</f>
        <v>0</v>
      </c>
      <c r="S151" s="2">
        <v>83093.33</v>
      </c>
      <c r="T151" s="2">
        <v>645039.97</v>
      </c>
      <c r="U151" s="12">
        <f>66915.46892
+(1.209928492*E151)
+(27.33619482*F151)
+(-41243.14883*G151)
+(3508.399163*H151)
+(3062.210286*I151)
+(-3438.10791*J151)
+(15157.28728*K151)
+(12509.46131*L151)
+(-15342.70531*M151)
+(-4201.853217*N151)
+(-25291.41891*O151)
+(32832.85351*P151)
+(20219.25907*Q151)
+(44695.0949*R151)</f>
        <v>643275.80512370763</v>
      </c>
      <c r="V151">
        <f>T151-U151</f>
        <v>1764.1648762923433</v>
      </c>
    </row>
    <row r="152" spans="1:22">
      <c r="A152" s="2" t="s">
        <v>30</v>
      </c>
      <c r="B152" s="3">
        <v>45717</v>
      </c>
      <c r="C152" s="2" t="s">
        <v>20</v>
      </c>
      <c r="D152" s="2" t="s">
        <v>16</v>
      </c>
      <c r="E152" s="2">
        <v>74413.88</v>
      </c>
      <c r="F152" s="2">
        <v>9449</v>
      </c>
      <c r="G152" s="2">
        <v>3.9E-2</v>
      </c>
      <c r="H152" s="2">
        <v>23</v>
      </c>
      <c r="I152" s="2">
        <v>92.1</v>
      </c>
      <c r="J152" s="2">
        <v>2.12</v>
      </c>
      <c r="K152" s="2">
        <v>0</v>
      </c>
      <c r="L152" s="2">
        <v>3.5</v>
      </c>
      <c r="M152" s="5">
        <f>IF(C152="North",1,0)</f>
        <v>1</v>
      </c>
      <c r="N152" s="5">
        <f>IF(C152="South",1,0)</f>
        <v>0</v>
      </c>
      <c r="O152" s="5">
        <f>IF(C152="East",1,0)</f>
        <v>0</v>
      </c>
      <c r="P152" s="5">
        <f>IF(D152="Mall",1,0)</f>
        <v>0</v>
      </c>
      <c r="Q152" s="5">
        <f>IF(D152="High Street",1,0)</f>
        <v>0</v>
      </c>
      <c r="R152" s="5">
        <f>IF(D152="Airport",1,0)</f>
        <v>0</v>
      </c>
      <c r="S152" s="2">
        <v>161499.04</v>
      </c>
      <c r="T152" s="2">
        <v>798952.17</v>
      </c>
      <c r="U152" s="12">
        <f>66915.46892
+(1.209928492*E152)
+(27.33619482*F152)
+(-41243.14883*G152)
+(3508.399163*H152)
+(3062.210286*I152)
+(-3438.10791*J152)
+(15157.28728*K152)
+(12509.46131*L152)
+(-15342.70531*M152)
+(-4201.853217*N152)
+(-25291.41891*O152)
+(32832.85351*P152)
+(20219.25907*Q152)
+(44695.0949*R152)</f>
        <v>797516.53317747894</v>
      </c>
      <c r="V152">
        <f>T152-U152</f>
        <v>1435.6368225211045</v>
      </c>
    </row>
    <row r="153" spans="1:22">
      <c r="A153" s="2" t="s">
        <v>77</v>
      </c>
      <c r="B153" s="3">
        <v>45689</v>
      </c>
      <c r="C153" s="2" t="s">
        <v>15</v>
      </c>
      <c r="D153" s="2" t="s">
        <v>18</v>
      </c>
      <c r="E153" s="2">
        <v>27194.639999999999</v>
      </c>
      <c r="F153" s="2">
        <v>7404</v>
      </c>
      <c r="G153" s="2">
        <v>8.7999999999999995E-2</v>
      </c>
      <c r="H153" s="2">
        <v>18</v>
      </c>
      <c r="I153" s="2">
        <v>90.2</v>
      </c>
      <c r="J153" s="2">
        <v>1.2</v>
      </c>
      <c r="K153" s="2">
        <v>0</v>
      </c>
      <c r="L153" s="2">
        <v>3.4</v>
      </c>
      <c r="M153" s="5">
        <f>IF(C153="North",1,0)</f>
        <v>0</v>
      </c>
      <c r="N153" s="5">
        <f>IF(C153="South",1,0)</f>
        <v>0</v>
      </c>
      <c r="O153" s="5">
        <f>IF(C153="East",1,0)</f>
        <v>1</v>
      </c>
      <c r="P153" s="5">
        <f>IF(D153="Mall",1,0)</f>
        <v>0</v>
      </c>
      <c r="Q153" s="5">
        <f>IF(D153="High Street",1,0)</f>
        <v>1</v>
      </c>
      <c r="R153" s="5">
        <f>IF(D153="Airport",1,0)</f>
        <v>0</v>
      </c>
      <c r="S153" s="2">
        <v>132684.18</v>
      </c>
      <c r="T153" s="2">
        <v>672670.54</v>
      </c>
      <c r="U153" s="12">
        <f>66915.46892
+(1.209928492*E153)
+(27.33619482*F153)
+(-41243.14883*G153)
+(3508.399163*H153)
+(3062.210286*I153)
+(-3438.10791*J153)
+(15157.28728*K153)
+(12509.46131*L153)
+(-15342.70531*M153)
+(-4201.853217*N153)
+(-25291.41891*O153)
+(32832.85351*P153)
+(20219.25907*Q153)
+(44695.0949*R153)</f>
        <v>671283.65988912294</v>
      </c>
      <c r="V153">
        <f>T153-U153</f>
        <v>1386.8801108771004</v>
      </c>
    </row>
    <row r="154" spans="1:22">
      <c r="A154" s="2" t="s">
        <v>38</v>
      </c>
      <c r="B154" s="3">
        <v>45689</v>
      </c>
      <c r="C154" s="2" t="s">
        <v>27</v>
      </c>
      <c r="D154" s="2" t="s">
        <v>18</v>
      </c>
      <c r="E154" s="2">
        <v>51148.69</v>
      </c>
      <c r="F154" s="2">
        <v>7940</v>
      </c>
      <c r="G154" s="2">
        <v>0.156</v>
      </c>
      <c r="H154" s="2">
        <v>18</v>
      </c>
      <c r="I154" s="2">
        <v>93.3</v>
      </c>
      <c r="J154" s="2">
        <v>10.91</v>
      </c>
      <c r="K154" s="2">
        <v>0</v>
      </c>
      <c r="L154" s="2">
        <v>3.6</v>
      </c>
      <c r="M154" s="5">
        <f>IF(C154="North",1,0)</f>
        <v>0</v>
      </c>
      <c r="N154" s="5">
        <f>IF(C154="South",1,0)</f>
        <v>0</v>
      </c>
      <c r="O154" s="5">
        <f>IF(C154="East",1,0)</f>
        <v>0</v>
      </c>
      <c r="P154" s="5">
        <f>IF(D154="Mall",1,0)</f>
        <v>0</v>
      </c>
      <c r="Q154" s="5">
        <f>IF(D154="High Street",1,0)</f>
        <v>1</v>
      </c>
      <c r="R154" s="5">
        <f>IF(D154="Airport",1,0)</f>
        <v>0</v>
      </c>
      <c r="S154" s="2">
        <v>134013.60999999999</v>
      </c>
      <c r="T154" s="2">
        <v>717141.55</v>
      </c>
      <c r="U154" s="12">
        <f>66915.46892
+(1.209928492*E154)
+(27.33619482*F154)
+(-41243.14883*G154)
+(3508.399163*H154)
+(3062.210286*I154)
+(-3438.10791*J154)
+(15157.28728*K154)
+(12509.46131*L154)
+(-15342.70531*M154)
+(-4201.853217*N154)
+(-25291.41891*O154)
+(32832.85351*P154)
+(20219.25907*Q154)
+(44695.0949*R154)</f>
        <v>716016.1490384955</v>
      </c>
      <c r="V154">
        <f>T154-U154</f>
        <v>1125.4009615045507</v>
      </c>
    </row>
    <row r="155" spans="1:22">
      <c r="A155" s="2" t="s">
        <v>58</v>
      </c>
      <c r="B155" s="3">
        <v>45689</v>
      </c>
      <c r="C155" s="2" t="s">
        <v>20</v>
      </c>
      <c r="D155" s="2" t="s">
        <v>16</v>
      </c>
      <c r="E155" s="2">
        <v>50909.27</v>
      </c>
      <c r="F155" s="2">
        <v>3152</v>
      </c>
      <c r="G155" s="2">
        <v>0.06</v>
      </c>
      <c r="H155" s="2">
        <v>13</v>
      </c>
      <c r="I155" s="2">
        <v>93.7</v>
      </c>
      <c r="J155" s="2">
        <v>10.79</v>
      </c>
      <c r="K155" s="2">
        <v>0</v>
      </c>
      <c r="L155" s="2">
        <v>3.5</v>
      </c>
      <c r="M155" s="5">
        <f>IF(C155="North",1,0)</f>
        <v>1</v>
      </c>
      <c r="N155" s="5">
        <f>IF(C155="South",1,0)</f>
        <v>0</v>
      </c>
      <c r="O155" s="5">
        <f>IF(C155="East",1,0)</f>
        <v>0</v>
      </c>
      <c r="P155" s="5">
        <f>IF(D155="Mall",1,0)</f>
        <v>0</v>
      </c>
      <c r="Q155" s="5">
        <f>IF(D155="High Street",1,0)</f>
        <v>0</v>
      </c>
      <c r="R155" s="5">
        <f>IF(D155="Airport",1,0)</f>
        <v>0</v>
      </c>
      <c r="S155" s="2">
        <v>93555.71</v>
      </c>
      <c r="T155" s="2">
        <v>537058.32999999996</v>
      </c>
      <c r="U155" s="12">
        <f>66915.46892
+(1.209928492*E155)
+(27.33619482*F155)
+(-41243.14883*G155)
+(3508.399163*H155)
+(3062.210286*I155)
+(-3438.10791*J155)
+(15157.28728*K155)
+(12509.46131*L155)
+(-15342.70531*M155)
+(-4201.853217*N155)
+(-25291.41891*O155)
+(32832.85351*P155)
+(20219.25907*Q155)
+(44695.0949*R155)</f>
        <v>536082.66018606082</v>
      </c>
      <c r="V155">
        <f>T155-U155</f>
        <v>975.66981393913738</v>
      </c>
    </row>
    <row r="156" spans="1:22">
      <c r="A156" s="2" t="s">
        <v>37</v>
      </c>
      <c r="B156" s="3">
        <v>45717</v>
      </c>
      <c r="C156" s="2" t="s">
        <v>24</v>
      </c>
      <c r="D156" s="2" t="s">
        <v>18</v>
      </c>
      <c r="E156" s="2">
        <v>50343.19</v>
      </c>
      <c r="F156" s="2">
        <v>3845</v>
      </c>
      <c r="G156" s="2">
        <v>0.113</v>
      </c>
      <c r="H156" s="2">
        <v>9</v>
      </c>
      <c r="I156" s="2">
        <v>88.7</v>
      </c>
      <c r="J156" s="2">
        <v>5.15</v>
      </c>
      <c r="K156" s="2">
        <v>0</v>
      </c>
      <c r="L156" s="2">
        <v>3.3</v>
      </c>
      <c r="M156" s="5">
        <f>IF(C156="North",1,0)</f>
        <v>0</v>
      </c>
      <c r="N156" s="5">
        <f>IF(C156="South",1,0)</f>
        <v>1</v>
      </c>
      <c r="O156" s="5">
        <f>IF(C156="East",1,0)</f>
        <v>0</v>
      </c>
      <c r="P156" s="5">
        <f>IF(D156="Mall",1,0)</f>
        <v>0</v>
      </c>
      <c r="Q156" s="5">
        <f>IF(D156="High Street",1,0)</f>
        <v>1</v>
      </c>
      <c r="R156" s="5">
        <f>IF(D156="Airport",1,0)</f>
        <v>0</v>
      </c>
      <c r="S156" s="2">
        <v>101409.68</v>
      </c>
      <c r="T156" s="2">
        <v>572011.19999999995</v>
      </c>
      <c r="U156" s="12">
        <f>66915.46892
+(1.209928492*E156)
+(27.33619482*F156)
+(-41243.14883*G156)
+(3508.399163*H156)
+(3062.210286*I156)
+(-3438.10791*J156)
+(15157.28728*K156)
+(12509.46131*L156)
+(-15342.70531*M156)
+(-4201.853217*N156)
+(-25291.41891*O156)
+(32832.85351*P156)
+(20219.25907*Q156)
+(44695.0949*R156)</f>
        <v>571060.33941897948</v>
      </c>
      <c r="V156">
        <f>T156-U156</f>
        <v>950.86058102047537</v>
      </c>
    </row>
    <row r="157" spans="1:22">
      <c r="A157" s="2" t="s">
        <v>70</v>
      </c>
      <c r="B157" s="3">
        <v>45689</v>
      </c>
      <c r="C157" s="2" t="s">
        <v>27</v>
      </c>
      <c r="D157" s="2" t="s">
        <v>16</v>
      </c>
      <c r="E157" s="2">
        <v>51133.43</v>
      </c>
      <c r="F157" s="2">
        <v>5150</v>
      </c>
      <c r="G157" s="2">
        <v>0.15</v>
      </c>
      <c r="H157" s="2">
        <v>12</v>
      </c>
      <c r="I157" s="2">
        <v>88.5</v>
      </c>
      <c r="J157" s="2">
        <v>1.54</v>
      </c>
      <c r="K157" s="2">
        <v>0</v>
      </c>
      <c r="L157" s="2">
        <v>3.2</v>
      </c>
      <c r="M157" s="5">
        <f>IF(C157="North",1,0)</f>
        <v>0</v>
      </c>
      <c r="N157" s="5">
        <f>IF(C157="South",1,0)</f>
        <v>0</v>
      </c>
      <c r="O157" s="5">
        <f>IF(C157="East",1,0)</f>
        <v>0</v>
      </c>
      <c r="P157" s="5">
        <f>IF(D157="Mall",1,0)</f>
        <v>0</v>
      </c>
      <c r="Q157" s="5">
        <f>IF(D157="High Street",1,0)</f>
        <v>0</v>
      </c>
      <c r="R157" s="5">
        <f>IF(D157="Airport",1,0)</f>
        <v>0</v>
      </c>
      <c r="S157" s="2">
        <v>115488.75</v>
      </c>
      <c r="T157" s="2">
        <v>611924.27</v>
      </c>
      <c r="U157" s="12">
        <f>66915.46892
+(1.209928492*E157)
+(27.33619482*F157)
+(-41243.14883*G157)
+(3508.399163*H157)
+(3062.210286*I157)
+(-3438.10791*J157)
+(15157.28728*K157)
+(12509.46131*L157)
+(-15342.70531*M157)
+(-4201.853217*N157)
+(-25291.41891*O157)
+(32832.85351*P157)
+(20219.25907*Q157)
+(44695.0949*R157)</f>
        <v>611220.18404678756</v>
      </c>
      <c r="V157">
        <f>T157-U157</f>
        <v>704.08595321245957</v>
      </c>
    </row>
    <row r="158" spans="1:22">
      <c r="A158" s="2" t="s">
        <v>75</v>
      </c>
      <c r="B158" s="3">
        <v>45748</v>
      </c>
      <c r="C158" s="2" t="s">
        <v>27</v>
      </c>
      <c r="D158" s="2" t="s">
        <v>16</v>
      </c>
      <c r="E158" s="2">
        <v>47391.09</v>
      </c>
      <c r="F158" s="2">
        <v>11224</v>
      </c>
      <c r="G158" s="2">
        <v>0.14699999999999999</v>
      </c>
      <c r="H158" s="2">
        <v>25</v>
      </c>
      <c r="I158" s="2">
        <v>88.4</v>
      </c>
      <c r="J158" s="2">
        <v>2.44</v>
      </c>
      <c r="K158" s="2">
        <v>0</v>
      </c>
      <c r="L158" s="2">
        <v>4.9000000000000004</v>
      </c>
      <c r="M158" s="5">
        <f>IF(C158="North",1,0)</f>
        <v>0</v>
      </c>
      <c r="N158" s="5">
        <f>IF(C158="South",1,0)</f>
        <v>0</v>
      </c>
      <c r="O158" s="5">
        <f>IF(C158="East",1,0)</f>
        <v>0</v>
      </c>
      <c r="P158" s="5">
        <f>IF(D158="Mall",1,0)</f>
        <v>0</v>
      </c>
      <c r="Q158" s="5">
        <f>IF(D158="High Street",1,0)</f>
        <v>0</v>
      </c>
      <c r="R158" s="5">
        <f>IF(D158="Airport",1,0)</f>
        <v>0</v>
      </c>
      <c r="S158" s="2">
        <v>141090.26</v>
      </c>
      <c r="T158" s="2">
        <v>836908.24</v>
      </c>
      <c r="U158" s="12">
        <f>66915.46892
+(1.209928492*E158)
+(27.33619482*F158)
+(-41243.14883*G158)
+(3508.399163*H158)
+(3062.210286*I158)
+(-3438.10791*J158)
+(15157.28728*K158)
+(12509.46131*L158)
+(-15342.70531*M158)
+(-4201.853217*N158)
+(-25291.41891*O158)
+(32832.85351*P158)
+(20219.25907*Q158)
+(44695.0949*R158)</f>
        <v>836330.75223560631</v>
      </c>
      <c r="V158">
        <f>T158-U158</f>
        <v>577.48776439367794</v>
      </c>
    </row>
    <row r="159" spans="1:22">
      <c r="A159" s="2" t="s">
        <v>101</v>
      </c>
      <c r="B159" s="3">
        <v>45717</v>
      </c>
      <c r="C159" s="2" t="s">
        <v>15</v>
      </c>
      <c r="D159" s="2" t="s">
        <v>16</v>
      </c>
      <c r="E159" s="2">
        <v>81902.58</v>
      </c>
      <c r="F159" s="2">
        <v>7775</v>
      </c>
      <c r="G159" s="2">
        <v>0.215</v>
      </c>
      <c r="H159" s="2">
        <v>20</v>
      </c>
      <c r="I159" s="2">
        <v>85.2</v>
      </c>
      <c r="J159" s="2">
        <v>4.8899999999999997</v>
      </c>
      <c r="K159" s="2">
        <v>1</v>
      </c>
      <c r="L159" s="2">
        <v>4.2</v>
      </c>
      <c r="M159" s="5">
        <f>IF(C159="North",1,0)</f>
        <v>0</v>
      </c>
      <c r="N159" s="5">
        <f>IF(C159="South",1,0)</f>
        <v>0</v>
      </c>
      <c r="O159" s="5">
        <f>IF(C159="East",1,0)</f>
        <v>1</v>
      </c>
      <c r="P159" s="5">
        <f>IF(D159="Mall",1,0)</f>
        <v>0</v>
      </c>
      <c r="Q159" s="5">
        <f>IF(D159="High Street",1,0)</f>
        <v>0</v>
      </c>
      <c r="R159" s="5">
        <f>IF(D159="Airport",1,0)</f>
        <v>0</v>
      </c>
      <c r="S159" s="2">
        <v>90804.49</v>
      </c>
      <c r="T159" s="2">
        <v>726776.22</v>
      </c>
      <c r="U159" s="12">
        <f>66915.46892
+(1.209928492*E159)
+(27.33619482*F159)
+(-41243.14883*G159)
+(3508.399163*H159)
+(3062.210286*I159)
+(-3438.10791*J159)
+(15157.28728*K159)
+(12509.46131*L159)
+(-15342.70531*M159)
+(-4201.853217*N159)
+(-25291.41891*O159)
+(32832.85351*P159)
+(20219.25907*Q159)
+(44695.0949*R159)</f>
        <v>726344.92957665934</v>
      </c>
      <c r="V159">
        <f>T159-U159</f>
        <v>431.29042334062979</v>
      </c>
    </row>
    <row r="160" spans="1:22">
      <c r="A160" s="2" t="s">
        <v>74</v>
      </c>
      <c r="B160" s="3">
        <v>45658</v>
      </c>
      <c r="C160" s="2" t="s">
        <v>15</v>
      </c>
      <c r="D160" s="2" t="s">
        <v>18</v>
      </c>
      <c r="E160" s="2">
        <v>63457.19</v>
      </c>
      <c r="F160" s="2">
        <v>10125</v>
      </c>
      <c r="G160" s="2">
        <v>9.7000000000000003E-2</v>
      </c>
      <c r="H160" s="2">
        <v>24</v>
      </c>
      <c r="I160" s="2">
        <v>87</v>
      </c>
      <c r="J160" s="2">
        <v>3.84</v>
      </c>
      <c r="K160" s="2">
        <v>1</v>
      </c>
      <c r="L160" s="2">
        <v>3.7</v>
      </c>
      <c r="M160" s="5">
        <f>IF(C160="North",1,0)</f>
        <v>0</v>
      </c>
      <c r="N160" s="5">
        <f>IF(C160="South",1,0)</f>
        <v>0</v>
      </c>
      <c r="O160" s="5">
        <f>IF(C160="East",1,0)</f>
        <v>1</v>
      </c>
      <c r="P160" s="5">
        <f>IF(D160="Mall",1,0)</f>
        <v>0</v>
      </c>
      <c r="Q160" s="5">
        <f>IF(D160="High Street",1,0)</f>
        <v>1</v>
      </c>
      <c r="R160" s="5">
        <f>IF(D160="Airport",1,0)</f>
        <v>0</v>
      </c>
      <c r="S160" s="2">
        <v>200575.34</v>
      </c>
      <c r="T160" s="2">
        <v>810446.53</v>
      </c>
      <c r="U160" s="12">
        <f>66915.46892
+(1.209928492*E160)
+(27.33619482*F160)
+(-41243.14883*G160)
+(3508.399163*H160)
+(3062.210286*I160)
+(-3438.10791*J160)
+(15157.28728*K160)
+(12509.46131*L160)
+(-15342.70531*M160)
+(-4201.853217*N160)
+(-25291.41891*O160)
+(32832.85351*P160)
+(20219.25907*Q160)
+(44695.0949*R160)</f>
        <v>810254.19294584752</v>
      </c>
      <c r="V160">
        <f>T160-U160</f>
        <v>192.33705415250733</v>
      </c>
    </row>
    <row r="161" spans="1:22">
      <c r="A161" s="2" t="s">
        <v>64</v>
      </c>
      <c r="B161" s="3">
        <v>45658</v>
      </c>
      <c r="C161" s="2" t="s">
        <v>15</v>
      </c>
      <c r="D161" s="2" t="s">
        <v>16</v>
      </c>
      <c r="E161" s="2">
        <v>62059.18</v>
      </c>
      <c r="F161" s="2">
        <v>9374</v>
      </c>
      <c r="G161" s="2">
        <v>0.13600000000000001</v>
      </c>
      <c r="H161" s="2">
        <v>25</v>
      </c>
      <c r="I161" s="2">
        <v>87.1</v>
      </c>
      <c r="J161" s="2">
        <v>12.55</v>
      </c>
      <c r="K161" s="2">
        <v>0</v>
      </c>
      <c r="L161" s="2">
        <v>4.9000000000000004</v>
      </c>
      <c r="M161" s="5">
        <f>IF(C161="North",1,0)</f>
        <v>0</v>
      </c>
      <c r="N161" s="5">
        <f>IF(C161="South",1,0)</f>
        <v>0</v>
      </c>
      <c r="O161" s="5">
        <f>IF(C161="East",1,0)</f>
        <v>1</v>
      </c>
      <c r="P161" s="5">
        <f>IF(D161="Mall",1,0)</f>
        <v>0</v>
      </c>
      <c r="Q161" s="5">
        <f>IF(D161="High Street",1,0)</f>
        <v>0</v>
      </c>
      <c r="R161" s="5">
        <f>IF(D161="Airport",1,0)</f>
        <v>0</v>
      </c>
      <c r="S161" s="2">
        <v>119490.21</v>
      </c>
      <c r="T161" s="2">
        <v>739831.73</v>
      </c>
      <c r="U161" s="12">
        <f>66915.46892
+(1.209928492*E161)
+(27.33619482*F161)
+(-41243.14883*G161)
+(3508.399163*H161)
+(3062.210286*I161)
+(-3438.10791*J161)
+(15157.28728*K161)
+(12509.46131*L161)
+(-15342.70531*M161)
+(-4201.853217*N161)
+(-25291.41891*O161)
+(32832.85351*P161)
+(20219.25907*Q161)
+(44695.0949*R161)</f>
        <v>739928.24321805651</v>
      </c>
      <c r="V161">
        <f>T161-U161</f>
        <v>-96.513218056526966</v>
      </c>
    </row>
    <row r="162" spans="1:22">
      <c r="A162" s="2" t="s">
        <v>38</v>
      </c>
      <c r="B162" s="3">
        <v>45748</v>
      </c>
      <c r="C162" s="2" t="s">
        <v>27</v>
      </c>
      <c r="D162" s="2" t="s">
        <v>18</v>
      </c>
      <c r="E162" s="2">
        <v>42018.400000000001</v>
      </c>
      <c r="F162" s="2">
        <v>8296</v>
      </c>
      <c r="G162" s="2">
        <v>0.115</v>
      </c>
      <c r="H162" s="2">
        <v>17</v>
      </c>
      <c r="I162" s="2">
        <v>91.8</v>
      </c>
      <c r="J162" s="2">
        <v>0.77</v>
      </c>
      <c r="K162" s="2">
        <v>0</v>
      </c>
      <c r="L162" s="2">
        <v>3.4</v>
      </c>
      <c r="M162" s="5">
        <f>IF(C162="North",1,0)</f>
        <v>0</v>
      </c>
      <c r="N162" s="5">
        <f>IF(C162="South",1,0)</f>
        <v>0</v>
      </c>
      <c r="O162" s="5">
        <f>IF(C162="East",1,0)</f>
        <v>0</v>
      </c>
      <c r="P162" s="5">
        <f>IF(D162="Mall",1,0)</f>
        <v>0</v>
      </c>
      <c r="Q162" s="5">
        <f>IF(D162="High Street",1,0)</f>
        <v>1</v>
      </c>
      <c r="R162" s="5">
        <f>IF(D162="Airport",1,0)</f>
        <v>0</v>
      </c>
      <c r="S162" s="2">
        <v>128020.9</v>
      </c>
      <c r="T162" s="2">
        <v>740496.65</v>
      </c>
      <c r="U162" s="12">
        <f>66915.46892
+(1.209928492*E162)
+(27.33619482*F162)
+(-41243.14883*G162)
+(3508.399163*H162)
+(3062.210286*I162)
+(-3438.10791*J162)
+(15157.28728*K162)
+(12509.46131*L162)
+(-15342.70531*M162)
+(-4201.853217*N162)
+(-25291.41891*O162)
+(32832.85351*P162)
+(20219.25907*Q162)
+(44695.0949*R162)</f>
        <v>740650.61283862288</v>
      </c>
      <c r="V162">
        <f>T162-U162</f>
        <v>-153.96283862285782</v>
      </c>
    </row>
    <row r="163" spans="1:22">
      <c r="A163" s="2" t="s">
        <v>17</v>
      </c>
      <c r="B163" s="3">
        <v>45717</v>
      </c>
      <c r="C163" s="2" t="s">
        <v>15</v>
      </c>
      <c r="D163" s="2" t="s">
        <v>18</v>
      </c>
      <c r="E163" s="2">
        <v>46213.45</v>
      </c>
      <c r="F163" s="2">
        <v>10616</v>
      </c>
      <c r="G163" s="2">
        <v>0.122</v>
      </c>
      <c r="H163" s="2">
        <v>22</v>
      </c>
      <c r="I163" s="2">
        <v>85.2</v>
      </c>
      <c r="J163" s="2">
        <v>0.2</v>
      </c>
      <c r="K163" s="2">
        <v>1</v>
      </c>
      <c r="L163" s="2">
        <v>4.0999999999999996</v>
      </c>
      <c r="M163" s="5">
        <f>IF(C163="North",1,0)</f>
        <v>0</v>
      </c>
      <c r="N163" s="5">
        <f>IF(C163="South",1,0)</f>
        <v>0</v>
      </c>
      <c r="O163" s="5">
        <f>IF(C163="East",1,0)</f>
        <v>1</v>
      </c>
      <c r="P163" s="5">
        <f>IF(D163="Mall",1,0)</f>
        <v>0</v>
      </c>
      <c r="Q163" s="5">
        <f>IF(D163="High Street",1,0)</f>
        <v>1</v>
      </c>
      <c r="R163" s="5">
        <f>IF(D163="Airport",1,0)</f>
        <v>0</v>
      </c>
      <c r="S163" s="2">
        <v>131364.62</v>
      </c>
      <c r="T163" s="2">
        <v>806615.54</v>
      </c>
      <c r="U163" s="12">
        <f>66915.46892
+(1.209928492*E163)
+(27.33619482*F163)
+(-41243.14883*G163)
+(3508.399163*H163)
+(3062.210286*I163)
+(-3438.10791*J163)
+(15157.28728*K163)
+(12509.46131*L163)
+(-15342.70531*M163)
+(-4201.853217*N163)
+(-25291.41891*O163)
+(32832.85351*P163)
+(20219.25907*Q163)
+(44695.0949*R163)</f>
        <v>806771.21402267739</v>
      </c>
      <c r="V163">
        <f>T163-U163</f>
        <v>-155.67402267735451</v>
      </c>
    </row>
    <row r="164" spans="1:22">
      <c r="A164" s="2" t="s">
        <v>80</v>
      </c>
      <c r="B164" s="3">
        <v>45748</v>
      </c>
      <c r="C164" s="2" t="s">
        <v>27</v>
      </c>
      <c r="D164" s="2" t="s">
        <v>16</v>
      </c>
      <c r="E164" s="2">
        <v>47944.14</v>
      </c>
      <c r="F164" s="2">
        <v>6169</v>
      </c>
      <c r="G164" s="2">
        <v>0.11899999999999999</v>
      </c>
      <c r="H164" s="2">
        <v>17</v>
      </c>
      <c r="I164" s="2">
        <v>92.2</v>
      </c>
      <c r="J164" s="2">
        <v>3.02</v>
      </c>
      <c r="K164" s="2">
        <v>0</v>
      </c>
      <c r="L164" s="2">
        <v>4.0999999999999996</v>
      </c>
      <c r="M164" s="5">
        <f>IF(C164="North",1,0)</f>
        <v>0</v>
      </c>
      <c r="N164" s="5">
        <f>IF(C164="South",1,0)</f>
        <v>0</v>
      </c>
      <c r="O164" s="5">
        <f>IF(C164="East",1,0)</f>
        <v>0</v>
      </c>
      <c r="P164" s="5">
        <f>IF(D164="Mall",1,0)</f>
        <v>0</v>
      </c>
      <c r="Q164" s="5">
        <f>IF(D164="High Street",1,0)</f>
        <v>0</v>
      </c>
      <c r="R164" s="5">
        <f>IF(D164="Airport",1,0)</f>
        <v>0</v>
      </c>
      <c r="S164" s="2">
        <v>100140.8</v>
      </c>
      <c r="T164" s="2">
        <v>670629.48</v>
      </c>
      <c r="U164" s="12">
        <f>66915.46892
+(1.209928492*E164)
+(27.33619482*F164)
+(-41243.14883*G164)
+(3508.399163*H164)
+(3062.210286*I164)
+(-3438.10791*J164)
+(15157.28728*K164)
+(12509.46131*L164)
+(-15342.70531*M164)
+(-4201.853217*N164)
+(-25291.41891*O164)
+(32832.85351*P164)
+(20219.25907*Q164)
+(44695.0949*R164)</f>
        <v>671537.78068724694</v>
      </c>
      <c r="V164">
        <f>T164-U164</f>
        <v>-908.30068724695593</v>
      </c>
    </row>
    <row r="165" spans="1:22">
      <c r="A165" s="2" t="s">
        <v>25</v>
      </c>
      <c r="B165" s="3">
        <v>45748</v>
      </c>
      <c r="C165" s="2" t="s">
        <v>20</v>
      </c>
      <c r="D165" s="2" t="s">
        <v>16</v>
      </c>
      <c r="E165" s="2">
        <v>62060.43</v>
      </c>
      <c r="F165" s="2">
        <v>2613</v>
      </c>
      <c r="G165" s="2">
        <v>0.216</v>
      </c>
      <c r="H165" s="2">
        <v>12</v>
      </c>
      <c r="I165" s="2">
        <v>92.1</v>
      </c>
      <c r="J165" s="2">
        <v>1.55</v>
      </c>
      <c r="K165" s="2">
        <v>0</v>
      </c>
      <c r="L165" s="2">
        <v>4.7</v>
      </c>
      <c r="M165" s="5">
        <f>IF(C165="North",1,0)</f>
        <v>1</v>
      </c>
      <c r="N165" s="5">
        <f>IF(C165="South",1,0)</f>
        <v>0</v>
      </c>
      <c r="O165" s="5">
        <f>IF(C165="East",1,0)</f>
        <v>0</v>
      </c>
      <c r="P165" s="5">
        <f>IF(D165="Mall",1,0)</f>
        <v>0</v>
      </c>
      <c r="Q165" s="5">
        <f>IF(D165="High Street",1,0)</f>
        <v>0</v>
      </c>
      <c r="R165" s="5">
        <f>IF(D165="Airport",1,0)</f>
        <v>0</v>
      </c>
      <c r="S165" s="2">
        <v>77825.460000000006</v>
      </c>
      <c r="T165" s="2">
        <v>565810.99</v>
      </c>
      <c r="U165" s="12">
        <f>66915.46892
+(1.209928492*E165)
+(27.33619482*F165)
+(-41243.14883*G165)
+(3508.399163*H165)
+(3062.210286*I165)
+(-3438.10791*J165)
+(15157.28728*K165)
+(12509.46131*L165)
+(-15342.70531*M165)
+(-4201.853217*N165)
+(-25291.41891*O165)
+(32832.85351*P165)
+(20219.25907*Q165)
+(44695.0949*R165)</f>
        <v>566778.16120325145</v>
      </c>
      <c r="V165">
        <f>T165-U165</f>
        <v>-967.17120325146243</v>
      </c>
    </row>
    <row r="166" spans="1:22">
      <c r="A166" s="2" t="s">
        <v>84</v>
      </c>
      <c r="B166" s="3">
        <v>45717</v>
      </c>
      <c r="C166" s="2" t="s">
        <v>20</v>
      </c>
      <c r="D166" s="2" t="s">
        <v>18</v>
      </c>
      <c r="E166" s="2">
        <v>38361.93</v>
      </c>
      <c r="F166" s="2">
        <v>6322</v>
      </c>
      <c r="G166" s="2">
        <v>0.27300000000000002</v>
      </c>
      <c r="H166" s="2">
        <v>15</v>
      </c>
      <c r="I166" s="2">
        <v>88.4</v>
      </c>
      <c r="J166" s="2">
        <v>0.83</v>
      </c>
      <c r="K166" s="2">
        <v>0</v>
      </c>
      <c r="L166" s="2">
        <v>4</v>
      </c>
      <c r="M166" s="5">
        <f>IF(C166="North",1,0)</f>
        <v>1</v>
      </c>
      <c r="N166" s="5">
        <f>IF(C166="South",1,0)</f>
        <v>0</v>
      </c>
      <c r="O166" s="5">
        <f>IF(C166="East",1,0)</f>
        <v>0</v>
      </c>
      <c r="P166" s="5">
        <f>IF(D166="Mall",1,0)</f>
        <v>0</v>
      </c>
      <c r="Q166" s="5">
        <f>IF(D166="High Street",1,0)</f>
        <v>1</v>
      </c>
      <c r="R166" s="5">
        <f>IF(D166="Airport",1,0)</f>
        <v>0</v>
      </c>
      <c r="S166" s="2">
        <v>118497.43</v>
      </c>
      <c r="T166" s="2">
        <v>647953.78</v>
      </c>
      <c r="U166" s="12">
        <f>66915.46892
+(1.209928492*E166)
+(27.33619482*F166)
+(-41243.14883*G166)
+(3508.399163*H166)
+(3062.210286*I166)
+(-3438.10791*J166)
+(15157.28728*K166)
+(12509.46131*L166)
+(-15342.70531*M166)
+(-4201.853217*N166)
+(-25291.41891*O166)
+(32832.85351*P166)
+(20219.25907*Q166)
+(44695.0949*R166)</f>
        <v>650276.85121865978</v>
      </c>
      <c r="V166">
        <f>T166-U166</f>
        <v>-2323.071218659752</v>
      </c>
    </row>
    <row r="167" spans="1:22">
      <c r="A167" s="2" t="s">
        <v>92</v>
      </c>
      <c r="B167" s="3">
        <v>45748</v>
      </c>
      <c r="C167" s="2" t="s">
        <v>24</v>
      </c>
      <c r="D167" s="2" t="s">
        <v>18</v>
      </c>
      <c r="E167" s="2">
        <v>18599.21</v>
      </c>
      <c r="F167" s="2">
        <v>3027</v>
      </c>
      <c r="G167" s="2">
        <v>0.122</v>
      </c>
      <c r="H167" s="2">
        <v>11</v>
      </c>
      <c r="I167" s="2">
        <v>80.900000000000006</v>
      </c>
      <c r="J167" s="2">
        <v>6.44</v>
      </c>
      <c r="K167" s="2">
        <v>0</v>
      </c>
      <c r="L167" s="2">
        <v>4.2</v>
      </c>
      <c r="M167" s="5">
        <f>IF(C167="North",1,0)</f>
        <v>0</v>
      </c>
      <c r="N167" s="5">
        <f>IF(C167="South",1,0)</f>
        <v>1</v>
      </c>
      <c r="O167" s="5">
        <f>IF(C167="East",1,0)</f>
        <v>0</v>
      </c>
      <c r="P167" s="5">
        <f>IF(D167="Mall",1,0)</f>
        <v>0</v>
      </c>
      <c r="Q167" s="5">
        <f>IF(D167="High Street",1,0)</f>
        <v>1</v>
      </c>
      <c r="R167" s="5">
        <f>IF(D167="Airport",1,0)</f>
        <v>0</v>
      </c>
      <c r="S167" s="2">
        <v>93372.75</v>
      </c>
      <c r="T167" s="2">
        <v>497439.82</v>
      </c>
      <c r="U167" s="12">
        <f>66915.46892
+(1.209928492*E167)
+(27.33619482*F167)
+(-41243.14883*G167)
+(3508.399163*H167)
+(3062.210286*I167)
+(-3438.10791*J167)
+(15157.28728*K167)
+(12509.46131*L167)
+(-15342.70531*M167)
+(-4201.853217*N167)
+(-25291.41891*O167)
+(32832.85351*P167)
+(20219.25907*Q167)
+(44695.0949*R167)</f>
        <v>499875.1119355713</v>
      </c>
      <c r="V167">
        <f>T167-U167</f>
        <v>-2435.2919355712947</v>
      </c>
    </row>
    <row r="168" spans="1:22">
      <c r="A168" s="2" t="s">
        <v>42</v>
      </c>
      <c r="B168" s="3">
        <v>45748</v>
      </c>
      <c r="C168" s="2" t="s">
        <v>27</v>
      </c>
      <c r="D168" s="2" t="s">
        <v>28</v>
      </c>
      <c r="E168" s="2">
        <v>36475.71</v>
      </c>
      <c r="F168" s="2">
        <v>3559</v>
      </c>
      <c r="G168" s="2">
        <v>0.03</v>
      </c>
      <c r="H168" s="2">
        <v>8</v>
      </c>
      <c r="I168" s="2">
        <v>83.6</v>
      </c>
      <c r="J168" s="2">
        <v>1.41</v>
      </c>
      <c r="K168" s="2">
        <v>0</v>
      </c>
      <c r="L168" s="2">
        <v>4.2</v>
      </c>
      <c r="M168" s="5">
        <f>IF(C168="North",1,0)</f>
        <v>0</v>
      </c>
      <c r="N168" s="5">
        <f>IF(C168="South",1,0)</f>
        <v>0</v>
      </c>
      <c r="O168" s="5">
        <f>IF(C168="East",1,0)</f>
        <v>0</v>
      </c>
      <c r="P168" s="5">
        <f>IF(D168="Mall",1,0)</f>
        <v>1</v>
      </c>
      <c r="Q168" s="5">
        <f>IF(D168="High Street",1,0)</f>
        <v>0</v>
      </c>
      <c r="R168" s="5">
        <f>IF(D168="Airport",1,0)</f>
        <v>0</v>
      </c>
      <c r="S168" s="2">
        <v>104808.78</v>
      </c>
      <c r="T168" s="2">
        <v>569100.78</v>
      </c>
      <c r="U168" s="12">
        <f>66915.46892
+(1.209928492*E168)
+(27.33619482*F168)
+(-41243.14883*G168)
+(3508.399163*H168)
+(3062.210286*I168)
+(-3438.10791*J168)
+(15157.28728*K168)
+(12509.46131*L168)
+(-15342.70531*M168)
+(-4201.853217*N168)
+(-25291.41891*O168)
+(32832.85351*P168)
+(20219.25907*Q168)
+(44695.0949*R168)</f>
        <v>571693.52468690928</v>
      </c>
      <c r="V168">
        <f>T168-U168</f>
        <v>-2592.7446869092528</v>
      </c>
    </row>
    <row r="169" spans="1:22">
      <c r="A169" s="2" t="s">
        <v>76</v>
      </c>
      <c r="B169" s="3">
        <v>45748</v>
      </c>
      <c r="C169" s="2" t="s">
        <v>20</v>
      </c>
      <c r="D169" s="2" t="s">
        <v>21</v>
      </c>
      <c r="E169" s="2">
        <v>16451.849999999999</v>
      </c>
      <c r="F169" s="2">
        <v>4678</v>
      </c>
      <c r="G169" s="2">
        <v>0.13300000000000001</v>
      </c>
      <c r="H169" s="2">
        <v>11</v>
      </c>
      <c r="I169" s="2">
        <v>95.9</v>
      </c>
      <c r="J169" s="2">
        <v>3.1</v>
      </c>
      <c r="K169" s="2">
        <v>0</v>
      </c>
      <c r="L169" s="2">
        <v>3.9</v>
      </c>
      <c r="M169" s="5">
        <f>IF(C169="North",1,0)</f>
        <v>1</v>
      </c>
      <c r="N169" s="5">
        <f>IF(C169="South",1,0)</f>
        <v>0</v>
      </c>
      <c r="O169" s="5">
        <f>IF(C169="East",1,0)</f>
        <v>0</v>
      </c>
      <c r="P169" s="5">
        <f>IF(D169="Mall",1,0)</f>
        <v>0</v>
      </c>
      <c r="Q169" s="5">
        <f>IF(D169="High Street",1,0)</f>
        <v>0</v>
      </c>
      <c r="R169" s="5">
        <f>IF(D169="Airport",1,0)</f>
        <v>1</v>
      </c>
      <c r="S169" s="2">
        <v>102213.26</v>
      </c>
      <c r="T169" s="2">
        <v>606278.30000000005</v>
      </c>
      <c r="U169" s="12">
        <f>66915.46892
+(1.209928492*E169)
+(27.33619482*F169)
+(-41243.14883*G169)
+(3508.399163*H169)
+(3062.210286*I169)
+(-3438.10791*J169)
+(15157.28728*K169)
+(12509.46131*L169)
+(-15342.70531*M169)
+(-4201.853217*N169)
+(-25291.41891*O169)
+(32832.85351*P169)
+(20219.25907*Q169)
+(44695.0949*R169)</f>
        <v>608953.92295308027</v>
      </c>
      <c r="V169">
        <f>T169-U169</f>
        <v>-2675.6229530802229</v>
      </c>
    </row>
    <row r="170" spans="1:22">
      <c r="A170" s="2" t="s">
        <v>86</v>
      </c>
      <c r="B170" s="3">
        <v>45689</v>
      </c>
      <c r="C170" s="2" t="s">
        <v>24</v>
      </c>
      <c r="D170" s="2" t="s">
        <v>28</v>
      </c>
      <c r="E170" s="2">
        <v>28670.43</v>
      </c>
      <c r="F170" s="2">
        <v>7574</v>
      </c>
      <c r="G170" s="2">
        <v>0.114</v>
      </c>
      <c r="H170" s="2">
        <v>19</v>
      </c>
      <c r="I170" s="2">
        <v>82.7</v>
      </c>
      <c r="J170" s="2">
        <v>2.74</v>
      </c>
      <c r="K170" s="2">
        <v>0</v>
      </c>
      <c r="L170" s="2">
        <v>4.5999999999999996</v>
      </c>
      <c r="M170" s="5">
        <f>IF(C170="North",1,0)</f>
        <v>0</v>
      </c>
      <c r="N170" s="5">
        <f>IF(C170="South",1,0)</f>
        <v>1</v>
      </c>
      <c r="O170" s="5">
        <f>IF(C170="East",1,0)</f>
        <v>0</v>
      </c>
      <c r="P170" s="5">
        <f>IF(D170="Mall",1,0)</f>
        <v>1</v>
      </c>
      <c r="Q170" s="5">
        <f>IF(D170="High Street",1,0)</f>
        <v>0</v>
      </c>
      <c r="R170" s="5">
        <f>IF(D170="Airport",1,0)</f>
        <v>0</v>
      </c>
      <c r="S170" s="2">
        <v>116249.87</v>
      </c>
      <c r="T170" s="2">
        <v>697888.09</v>
      </c>
      <c r="U170" s="12">
        <f>66915.46892
+(1.209928492*E170)
+(27.33619482*F170)
+(-41243.14883*G170)
+(3508.399163*H170)
+(3062.210286*I170)
+(-3438.10791*J170)
+(15157.28728*K170)
+(12509.46131*L170)
+(-15342.70531*M170)
+(-4201.853217*N170)
+(-25291.41891*O170)
+(32832.85351*P170)
+(20219.25907*Q170)
+(44695.0949*R170)</f>
        <v>700605.74104975152</v>
      </c>
      <c r="V170">
        <f>T170-U170</f>
        <v>-2717.6510497515555</v>
      </c>
    </row>
    <row r="171" spans="1:22">
      <c r="A171" s="2" t="s">
        <v>99</v>
      </c>
      <c r="B171" s="3">
        <v>45748</v>
      </c>
      <c r="C171" s="2" t="s">
        <v>24</v>
      </c>
      <c r="D171" s="2" t="s">
        <v>18</v>
      </c>
      <c r="E171" s="2">
        <v>86026.58</v>
      </c>
      <c r="F171" s="2">
        <v>7479</v>
      </c>
      <c r="G171" s="2">
        <v>0.14199999999999999</v>
      </c>
      <c r="H171" s="2">
        <v>20</v>
      </c>
      <c r="I171" s="2">
        <v>89</v>
      </c>
      <c r="J171" s="2">
        <v>0.9</v>
      </c>
      <c r="K171" s="2">
        <v>0</v>
      </c>
      <c r="L171" s="5">
        <v>3.9</v>
      </c>
      <c r="M171" s="5">
        <f>IF(C171="North",1,0)</f>
        <v>0</v>
      </c>
      <c r="N171" s="5">
        <f>IF(C171="South",1,0)</f>
        <v>1</v>
      </c>
      <c r="O171" s="5">
        <f>IF(C171="East",1,0)</f>
        <v>0</v>
      </c>
      <c r="P171" s="5">
        <f>IF(D171="Mall",1,0)</f>
        <v>0</v>
      </c>
      <c r="Q171" s="5">
        <f>IF(D171="High Street",1,0)</f>
        <v>1</v>
      </c>
      <c r="R171" s="5">
        <f>IF(D171="Airport",1,0)</f>
        <v>0</v>
      </c>
      <c r="S171" s="2">
        <v>116851.13</v>
      </c>
      <c r="T171" s="2">
        <v>771129.07</v>
      </c>
      <c r="U171" s="12">
        <f>66915.46892
+(1.209928492*E171)
+(27.33619482*F171)
+(-41243.14883*G171)
+(3508.399163*H171)
+(3062.210286*I171)
+(-3438.10791*J171)
+(15157.28728*K171)
+(12509.46131*L171)
+(-15342.70531*M171)
+(-4201.853217*N171)
+(-25291.41891*O171)
+(32832.85351*P171)
+(20219.25907*Q171)
+(44695.0949*R171)</f>
        <v>774007.05961323739</v>
      </c>
      <c r="V171">
        <f>T171-U171</f>
        <v>-2877.9896132374415</v>
      </c>
    </row>
    <row r="172" spans="1:22">
      <c r="A172" s="2" t="s">
        <v>83</v>
      </c>
      <c r="B172" s="3">
        <v>45748</v>
      </c>
      <c r="C172" s="2" t="s">
        <v>15</v>
      </c>
      <c r="D172" s="2" t="s">
        <v>18</v>
      </c>
      <c r="E172" s="2">
        <v>21536.18</v>
      </c>
      <c r="F172" s="2">
        <v>8119</v>
      </c>
      <c r="G172" s="2">
        <v>0.22700000000000001</v>
      </c>
      <c r="H172" s="2">
        <v>20</v>
      </c>
      <c r="I172" s="2">
        <v>90.4</v>
      </c>
      <c r="J172" s="2">
        <v>1.7</v>
      </c>
      <c r="K172" s="2">
        <v>0</v>
      </c>
      <c r="L172" s="2">
        <v>3.3</v>
      </c>
      <c r="M172" s="5">
        <f>IF(C172="North",1,0)</f>
        <v>0</v>
      </c>
      <c r="N172" s="5">
        <f>IF(C172="South",1,0)</f>
        <v>0</v>
      </c>
      <c r="O172" s="5">
        <f>IF(C172="East",1,0)</f>
        <v>1</v>
      </c>
      <c r="P172" s="5">
        <f>IF(D172="Mall",1,0)</f>
        <v>0</v>
      </c>
      <c r="Q172" s="5">
        <f>IF(D172="High Street",1,0)</f>
        <v>1</v>
      </c>
      <c r="R172" s="5">
        <f>IF(D172="Airport",1,0)</f>
        <v>0</v>
      </c>
      <c r="S172" s="2">
        <v>83406.89</v>
      </c>
      <c r="T172" s="2">
        <v>679888.74</v>
      </c>
      <c r="U172" s="12">
        <f>66915.46892
+(1.209928492*E172)
+(27.33619482*F172)
+(-41243.14883*G172)
+(3508.399163*H172)
+(3062.210286*I172)
+(-3438.10791*J172)
+(15157.28728*K172)
+(12509.46131*L172)
+(-15342.70531*M172)
+(-4201.853217*N172)
+(-25291.41891*O172)
+(32832.85351*P172)
+(20219.25907*Q172)
+(44695.0949*R172)</f>
        <v>682909.14982041053</v>
      </c>
      <c r="V172">
        <f>T172-U172</f>
        <v>-3020.4098204105394</v>
      </c>
    </row>
    <row r="173" spans="1:22">
      <c r="A173" s="2" t="s">
        <v>76</v>
      </c>
      <c r="B173" s="3">
        <v>45689</v>
      </c>
      <c r="C173" s="2" t="s">
        <v>20</v>
      </c>
      <c r="D173" s="2" t="s">
        <v>21</v>
      </c>
      <c r="E173" s="2">
        <v>33987.33</v>
      </c>
      <c r="F173" s="2">
        <v>5014</v>
      </c>
      <c r="G173" s="2">
        <v>0.246</v>
      </c>
      <c r="H173" s="2">
        <v>17</v>
      </c>
      <c r="I173" s="2">
        <v>94.3</v>
      </c>
      <c r="J173" s="2">
        <v>10.34</v>
      </c>
      <c r="K173" s="2">
        <v>0</v>
      </c>
      <c r="L173" s="2">
        <v>3.9</v>
      </c>
      <c r="M173" s="5">
        <f>IF(C173="North",1,0)</f>
        <v>1</v>
      </c>
      <c r="N173" s="5">
        <f>IF(C173="South",1,0)</f>
        <v>0</v>
      </c>
      <c r="O173" s="5">
        <f>IF(C173="East",1,0)</f>
        <v>0</v>
      </c>
      <c r="P173" s="5">
        <f>IF(D173="Mall",1,0)</f>
        <v>0</v>
      </c>
      <c r="Q173" s="5">
        <f>IF(D173="High Street",1,0)</f>
        <v>0</v>
      </c>
      <c r="R173" s="5">
        <f>IF(D173="Airport",1,0)</f>
        <v>1</v>
      </c>
      <c r="S173" s="2">
        <v>101032.52</v>
      </c>
      <c r="T173" s="2">
        <v>622892.42000000004</v>
      </c>
      <c r="U173" s="12">
        <f>66915.46892
+(1.209928492*E173)
+(27.33619482*F173)
+(-41243.14883*G173)
+(3508.399163*H173)
+(3062.210286*I173)
+(-3438.10791*J173)
+(15157.28728*K173)
+(12509.46131*L173)
+(-15342.70531*M173)
+(-4201.853217*N173)
+(-25291.41891*O173)
+(32832.85351*P173)
+(20219.25907*Q173)
+(44695.0949*R173)</f>
        <v>625954.04271970643</v>
      </c>
      <c r="V173">
        <f>T173-U173</f>
        <v>-3061.6227197063854</v>
      </c>
    </row>
    <row r="174" spans="1:22">
      <c r="A174" s="2" t="s">
        <v>67</v>
      </c>
      <c r="B174" s="3">
        <v>45658</v>
      </c>
      <c r="C174" s="2" t="s">
        <v>27</v>
      </c>
      <c r="D174" s="2" t="s">
        <v>16</v>
      </c>
      <c r="E174" s="2">
        <v>68491.11</v>
      </c>
      <c r="F174" s="2">
        <v>11154</v>
      </c>
      <c r="G174" s="2">
        <v>1E-3</v>
      </c>
      <c r="H174" s="2">
        <v>24</v>
      </c>
      <c r="I174" s="2">
        <v>89.4</v>
      </c>
      <c r="J174" s="2">
        <v>5.27</v>
      </c>
      <c r="K174" s="2">
        <v>1</v>
      </c>
      <c r="L174" s="2">
        <v>3.9</v>
      </c>
      <c r="M174" s="5">
        <f>IF(C174="North",1,0)</f>
        <v>0</v>
      </c>
      <c r="N174" s="5">
        <f>IF(C174="South",1,0)</f>
        <v>0</v>
      </c>
      <c r="O174" s="5">
        <f>IF(C174="East",1,0)</f>
        <v>0</v>
      </c>
      <c r="P174" s="5">
        <f>IF(D174="Mall",1,0)</f>
        <v>0</v>
      </c>
      <c r="Q174" s="5">
        <f>IF(D174="High Street",1,0)</f>
        <v>0</v>
      </c>
      <c r="R174" s="5">
        <f>IF(D174="Airport",1,0)</f>
        <v>0</v>
      </c>
      <c r="S174" s="2">
        <v>175823.8</v>
      </c>
      <c r="T174" s="2">
        <v>855341.28</v>
      </c>
      <c r="U174" s="12">
        <f>66915.46892
+(1.209928492*E174)
+(27.33619482*F174)
+(-41243.14883*G174)
+(3508.399163*H174)
+(3062.210286*I174)
+(-3438.10791*J174)
+(15157.28728*K174)
+(12509.46131*L174)
+(-15342.70531*M174)
+(-4201.853217*N174)
+(-25291.41891*O174)
+(32832.85351*P174)
+(20219.25907*Q174)
+(44695.0949*R174)</f>
        <v>858440.02541485627</v>
      </c>
      <c r="V174">
        <f>T174-U174</f>
        <v>-3098.7454148562392</v>
      </c>
    </row>
    <row r="175" spans="1:22">
      <c r="A175" s="2" t="s">
        <v>64</v>
      </c>
      <c r="B175" s="3">
        <v>45748</v>
      </c>
      <c r="C175" s="2" t="s">
        <v>15</v>
      </c>
      <c r="D175" s="2" t="s">
        <v>16</v>
      </c>
      <c r="E175" s="2">
        <v>36606.51</v>
      </c>
      <c r="F175" s="2">
        <v>7671</v>
      </c>
      <c r="G175" s="2">
        <v>0.11799999999999999</v>
      </c>
      <c r="H175" s="2">
        <v>18</v>
      </c>
      <c r="I175" s="2">
        <v>89.8</v>
      </c>
      <c r="J175" s="2">
        <v>0.25</v>
      </c>
      <c r="K175" s="2">
        <v>0</v>
      </c>
      <c r="L175" s="2">
        <v>4.4000000000000004</v>
      </c>
      <c r="M175" s="5">
        <f>IF(C175="North",1,0)</f>
        <v>0</v>
      </c>
      <c r="N175" s="5">
        <f>IF(C175="South",1,0)</f>
        <v>0</v>
      </c>
      <c r="O175" s="5">
        <f>IF(C175="East",1,0)</f>
        <v>1</v>
      </c>
      <c r="P175" s="5">
        <f>IF(D175="Mall",1,0)</f>
        <v>0</v>
      </c>
      <c r="Q175" s="5">
        <f>IF(D175="High Street",1,0)</f>
        <v>0</v>
      </c>
      <c r="R175" s="5">
        <f>IF(D175="Airport",1,0)</f>
        <v>0</v>
      </c>
      <c r="S175" s="2">
        <v>121546.42</v>
      </c>
      <c r="T175" s="2">
        <v>679731.57</v>
      </c>
      <c r="U175" s="12">
        <f>66915.46892
+(1.209928492*E175)
+(27.33619482*F175)
+(-41243.14883*G175)
+(3508.399163*H175)
+(3062.210286*I175)
+(-3438.10791*J175)
+(15157.28728*K175)
+(12509.46131*L175)
+(-15342.70531*M175)
+(-4201.853217*N175)
+(-25291.41891*O175)
+(32832.85351*P175)
+(20219.25907*Q175)
+(44695.0949*R175)</f>
        <v>683064.33975726296</v>
      </c>
      <c r="V175">
        <f>T175-U175</f>
        <v>-3332.7697572630132</v>
      </c>
    </row>
    <row r="176" spans="1:22">
      <c r="A176" s="2" t="s">
        <v>23</v>
      </c>
      <c r="B176" s="3">
        <v>45689</v>
      </c>
      <c r="C176" s="2" t="s">
        <v>24</v>
      </c>
      <c r="D176" s="2" t="s">
        <v>16</v>
      </c>
      <c r="E176" s="2">
        <v>59117.9</v>
      </c>
      <c r="F176" s="2">
        <v>4263</v>
      </c>
      <c r="G176" s="2">
        <v>0.11899999999999999</v>
      </c>
      <c r="H176" s="2">
        <v>9</v>
      </c>
      <c r="I176" s="2">
        <v>87.6</v>
      </c>
      <c r="J176" s="2">
        <v>4.01</v>
      </c>
      <c r="K176" s="2">
        <v>0</v>
      </c>
      <c r="L176" s="2">
        <v>3.6</v>
      </c>
      <c r="M176" s="5">
        <f>IF(C176="North",1,0)</f>
        <v>0</v>
      </c>
      <c r="N176" s="5">
        <f>IF(C176="South",1,0)</f>
        <v>1</v>
      </c>
      <c r="O176" s="5">
        <f>IF(C176="East",1,0)</f>
        <v>0</v>
      </c>
      <c r="P176" s="5">
        <f>IF(D176="Mall",1,0)</f>
        <v>0</v>
      </c>
      <c r="Q176" s="5">
        <f>IF(D176="High Street",1,0)</f>
        <v>0</v>
      </c>
      <c r="R176" s="5">
        <f>IF(D176="Airport",1,0)</f>
        <v>0</v>
      </c>
      <c r="S176" s="2">
        <v>83680.75</v>
      </c>
      <c r="T176" s="2">
        <v>573155.18999999994</v>
      </c>
      <c r="U176" s="12">
        <f>66915.46892
+(1.209928492*E176)
+(27.33619482*F176)
+(-41243.14883*G176)
+(3508.399163*H176)
+(3062.210286*I176)
+(-3438.10791*J176)
+(15157.28728*K176)
+(12509.46131*L176)
+(-15342.70531*M176)
+(-4201.853217*N176)
+(-25291.41891*O176)
+(32832.85351*P176)
+(20219.25907*Q176)
+(44695.0949*R176)</f>
        <v>576940.77262459684</v>
      </c>
      <c r="V176">
        <f>T176-U176</f>
        <v>-3785.5826245968929</v>
      </c>
    </row>
    <row r="177" spans="1:22">
      <c r="A177" s="2" t="s">
        <v>30</v>
      </c>
      <c r="B177" s="3">
        <v>45748</v>
      </c>
      <c r="C177" s="2" t="s">
        <v>20</v>
      </c>
      <c r="D177" s="2" t="s">
        <v>16</v>
      </c>
      <c r="E177" s="2">
        <v>52483.77</v>
      </c>
      <c r="F177" s="2">
        <v>10453</v>
      </c>
      <c r="G177" s="2">
        <v>0.247</v>
      </c>
      <c r="H177" s="2">
        <v>25</v>
      </c>
      <c r="I177" s="2">
        <v>99</v>
      </c>
      <c r="J177" s="2">
        <v>6.31</v>
      </c>
      <c r="K177" s="2">
        <v>0</v>
      </c>
      <c r="L177" s="2">
        <v>3.6</v>
      </c>
      <c r="M177" s="5">
        <f>IF(C177="North",1,0)</f>
        <v>1</v>
      </c>
      <c r="N177" s="5">
        <f>IF(C177="South",1,0)</f>
        <v>0</v>
      </c>
      <c r="O177" s="5">
        <f>IF(C177="East",1,0)</f>
        <v>0</v>
      </c>
      <c r="P177" s="5">
        <f>IF(D177="Mall",1,0)</f>
        <v>0</v>
      </c>
      <c r="Q177" s="5">
        <f>IF(D177="High Street",1,0)</f>
        <v>0</v>
      </c>
      <c r="R177" s="5">
        <f>IF(D177="Airport",1,0)</f>
        <v>0</v>
      </c>
      <c r="S177" s="2">
        <v>149242.26999999999</v>
      </c>
      <c r="T177" s="2">
        <v>800979.78</v>
      </c>
      <c r="U177" s="12">
        <f>66915.46892
+(1.209928492*E177)
+(27.33619482*F177)
+(-41243.14883*G177)
+(3508.399163*H177)
+(3062.210286*I177)
+(-3438.10791*J177)
+(15157.28728*K177)
+(12509.46131*L177)
+(-15342.70531*M177)
+(-4201.853217*N177)
+(-25291.41891*O177)
+(32832.85351*P177)
+(20219.25907*Q177)
+(44695.0949*R177)</f>
        <v>804840.95618592482</v>
      </c>
      <c r="V177">
        <f>T177-U177</f>
        <v>-3861.1761859247927</v>
      </c>
    </row>
    <row r="178" spans="1:22">
      <c r="A178" s="2" t="s">
        <v>70</v>
      </c>
      <c r="B178" s="3">
        <v>45717</v>
      </c>
      <c r="C178" s="2" t="s">
        <v>27</v>
      </c>
      <c r="D178" s="2" t="s">
        <v>16</v>
      </c>
      <c r="E178" s="2">
        <v>40220.18</v>
      </c>
      <c r="F178" s="2">
        <v>3783</v>
      </c>
      <c r="G178" s="2">
        <v>8.8999999999999996E-2</v>
      </c>
      <c r="H178" s="2">
        <v>14</v>
      </c>
      <c r="I178" s="2">
        <v>86.6</v>
      </c>
      <c r="J178" s="2">
        <v>3.63</v>
      </c>
      <c r="K178" s="2">
        <v>0</v>
      </c>
      <c r="L178" s="2">
        <v>3.7</v>
      </c>
      <c r="M178" s="5">
        <f>IF(C178="North",1,0)</f>
        <v>0</v>
      </c>
      <c r="N178" s="5">
        <f>IF(C178="South",1,0)</f>
        <v>0</v>
      </c>
      <c r="O178" s="5">
        <f>IF(C178="East",1,0)</f>
        <v>0</v>
      </c>
      <c r="P178" s="5">
        <f>IF(D178="Mall",1,0)</f>
        <v>0</v>
      </c>
      <c r="Q178" s="5">
        <f>IF(D178="High Street",1,0)</f>
        <v>0</v>
      </c>
      <c r="R178" s="5">
        <f>IF(D178="Airport",1,0)</f>
        <v>0</v>
      </c>
      <c r="S178" s="2">
        <v>73528.740000000005</v>
      </c>
      <c r="T178" s="2">
        <v>559422.02</v>
      </c>
      <c r="U178" s="12">
        <f>66915.46892
+(1.209928492*E178)
+(27.33619482*F178)
+(-41243.14883*G178)
+(3508.399163*H178)
+(3062.210286*I178)
+(-3438.10791*J178)
+(15157.28728*K178)
+(12509.46131*L178)
+(-15342.70531*M178)
+(-4201.853217*N178)
+(-25291.41891*O178)
+(32832.85351*P178)
+(20219.25907*Q178)
+(44695.0949*R178)</f>
        <v>563430.86959685851</v>
      </c>
      <c r="V178">
        <f>T178-U178</f>
        <v>-4008.8495968584903</v>
      </c>
    </row>
    <row r="179" spans="1:22">
      <c r="A179" s="2" t="s">
        <v>71</v>
      </c>
      <c r="B179" s="3">
        <v>45689</v>
      </c>
      <c r="C179" s="2" t="s">
        <v>20</v>
      </c>
      <c r="D179" s="2" t="s">
        <v>16</v>
      </c>
      <c r="E179" s="2">
        <v>54002.83</v>
      </c>
      <c r="F179" s="2">
        <v>4366</v>
      </c>
      <c r="G179" s="2">
        <v>2.7E-2</v>
      </c>
      <c r="H179" s="2">
        <v>15</v>
      </c>
      <c r="I179" s="2">
        <v>90.6</v>
      </c>
      <c r="J179" s="2">
        <v>12.82</v>
      </c>
      <c r="K179" s="2">
        <v>0</v>
      </c>
      <c r="L179" s="2">
        <v>4.5999999999999996</v>
      </c>
      <c r="M179" s="5">
        <f>IF(C179="North",1,0)</f>
        <v>1</v>
      </c>
      <c r="N179" s="5">
        <f>IF(C179="South",1,0)</f>
        <v>0</v>
      </c>
      <c r="O179" s="5">
        <f>IF(C179="East",1,0)</f>
        <v>0</v>
      </c>
      <c r="P179" s="5">
        <f>IF(D179="Mall",1,0)</f>
        <v>0</v>
      </c>
      <c r="Q179" s="5">
        <f>IF(D179="High Street",1,0)</f>
        <v>0</v>
      </c>
      <c r="R179" s="5">
        <f>IF(D179="Airport",1,0)</f>
        <v>0</v>
      </c>
      <c r="S179" s="2">
        <v>124674.67</v>
      </c>
      <c r="T179" s="2">
        <v>574066.61</v>
      </c>
      <c r="U179" s="12">
        <f>66915.46892
+(1.209928492*E179)
+(27.33619482*F179)
+(-41243.14883*G179)
+(3508.399163*H179)
+(3062.210286*I179)
+(-3438.10791*J179)
+(15157.28728*K179)
+(12509.46131*L179)
+(-15342.70531*M179)
+(-4201.853217*N179)
+(-25291.41891*O179)
+(32832.85351*P179)
+(20219.25907*Q179)
+(44695.0949*R179)</f>
        <v>578677.80581774225</v>
      </c>
      <c r="V179">
        <f>T179-U179</f>
        <v>-4611.1958177422639</v>
      </c>
    </row>
    <row r="180" spans="1:22">
      <c r="A180" s="2" t="s">
        <v>61</v>
      </c>
      <c r="B180" s="3">
        <v>45689</v>
      </c>
      <c r="C180" s="2" t="s">
        <v>20</v>
      </c>
      <c r="D180" s="2" t="s">
        <v>28</v>
      </c>
      <c r="E180" s="2">
        <v>41863.08</v>
      </c>
      <c r="F180" s="2">
        <v>5400</v>
      </c>
      <c r="G180" s="2">
        <v>0.114</v>
      </c>
      <c r="H180" s="2">
        <v>11</v>
      </c>
      <c r="I180" s="2">
        <v>91.6</v>
      </c>
      <c r="J180" s="2">
        <v>7.99</v>
      </c>
      <c r="K180" s="2">
        <v>0</v>
      </c>
      <c r="L180" s="2">
        <v>3</v>
      </c>
      <c r="M180" s="5">
        <f>IF(C180="North",1,0)</f>
        <v>1</v>
      </c>
      <c r="N180" s="5">
        <f>IF(C180="South",1,0)</f>
        <v>0</v>
      </c>
      <c r="O180" s="5">
        <f>IF(C180="East",1,0)</f>
        <v>0</v>
      </c>
      <c r="P180" s="5">
        <f>IF(D180="Mall",1,0)</f>
        <v>1</v>
      </c>
      <c r="Q180" s="5">
        <f>IF(D180="High Street",1,0)</f>
        <v>0</v>
      </c>
      <c r="R180" s="5">
        <f>IF(D180="Airport",1,0)</f>
        <v>0</v>
      </c>
      <c r="S180" s="2">
        <v>110453.28</v>
      </c>
      <c r="T180" s="2">
        <v>602002.31999999995</v>
      </c>
      <c r="U180" s="12">
        <f>66915.46892
+(1.209928492*E180)
+(27.33619482*F180)
+(-41243.14883*G180)
+(3508.399163*H180)
+(3062.210286*I180)
+(-3438.10791*J180)
+(15157.28728*K180)
+(12509.46131*L180)
+(-15342.70531*M180)
+(-4201.853217*N180)
+(-25291.41891*O180)
+(32832.85351*P180)
+(20219.25907*Q180)
+(44695.0949*R180)</f>
        <v>607119.4381559554</v>
      </c>
      <c r="V180">
        <f>T180-U180</f>
        <v>-5117.1181559554534</v>
      </c>
    </row>
    <row r="181" spans="1:22">
      <c r="A181" s="2" t="s">
        <v>80</v>
      </c>
      <c r="B181" s="3">
        <v>45717</v>
      </c>
      <c r="C181" s="2" t="s">
        <v>27</v>
      </c>
      <c r="D181" s="2" t="s">
        <v>16</v>
      </c>
      <c r="E181" s="2">
        <v>62582.71</v>
      </c>
      <c r="F181" s="2">
        <v>5479</v>
      </c>
      <c r="G181" s="2">
        <v>4.8000000000000001E-2</v>
      </c>
      <c r="H181" s="2">
        <v>16</v>
      </c>
      <c r="I181" s="2">
        <v>81.2</v>
      </c>
      <c r="J181" s="2">
        <v>1.46</v>
      </c>
      <c r="K181" s="2">
        <v>0</v>
      </c>
      <c r="L181" s="2">
        <v>4.5</v>
      </c>
      <c r="M181" s="5">
        <f>IF(C181="North",1,0)</f>
        <v>0</v>
      </c>
      <c r="N181" s="5">
        <f>IF(C181="South",1,0)</f>
        <v>0</v>
      </c>
      <c r="O181" s="5">
        <f>IF(C181="East",1,0)</f>
        <v>0</v>
      </c>
      <c r="P181" s="5">
        <f>IF(D181="Mall",1,0)</f>
        <v>0</v>
      </c>
      <c r="Q181" s="5">
        <f>IF(D181="High Street",1,0)</f>
        <v>0</v>
      </c>
      <c r="R181" s="5">
        <f>IF(D181="Airport",1,0)</f>
        <v>0</v>
      </c>
      <c r="S181" s="2">
        <v>134919.16</v>
      </c>
      <c r="T181" s="2">
        <v>640666.53</v>
      </c>
      <c r="U181" s="12">
        <f>66915.46892
+(1.209928492*E181)
+(27.33619482*F181)
+(-41243.14883*G181)
+(3508.399163*H181)
+(3062.210286*I181)
+(-3438.10791*J181)
+(15157.28728*K181)
+(12509.46131*L181)
+(-15342.70531*M181)
+(-4201.853217*N181)
+(-25291.41891*O181)
+(32832.85351*P181)
+(20219.25907*Q181)
+(44695.0949*R181)</f>
        <v>646490.21330811339</v>
      </c>
      <c r="V181">
        <f>T181-U181</f>
        <v>-5823.6833081133664</v>
      </c>
    </row>
    <row r="182" spans="1:22">
      <c r="A182" s="2" t="s">
        <v>41</v>
      </c>
      <c r="B182" s="3">
        <v>45658</v>
      </c>
      <c r="C182" s="2" t="s">
        <v>24</v>
      </c>
      <c r="D182" s="2" t="s">
        <v>18</v>
      </c>
      <c r="E182" s="2">
        <v>56973.18</v>
      </c>
      <c r="F182" s="2">
        <v>6662</v>
      </c>
      <c r="G182" s="2">
        <v>0.1</v>
      </c>
      <c r="H182" s="2">
        <v>15</v>
      </c>
      <c r="I182" s="2">
        <v>77.7</v>
      </c>
      <c r="J182" s="2">
        <v>7.52</v>
      </c>
      <c r="K182" s="2">
        <v>1</v>
      </c>
      <c r="L182" s="2">
        <v>3.2</v>
      </c>
      <c r="M182" s="5">
        <f>IF(C182="North",1,0)</f>
        <v>0</v>
      </c>
      <c r="N182" s="5">
        <f>IF(C182="South",1,0)</f>
        <v>1</v>
      </c>
      <c r="O182" s="5">
        <f>IF(C182="East",1,0)</f>
        <v>0</v>
      </c>
      <c r="P182" s="5">
        <f>IF(D182="Mall",1,0)</f>
        <v>0</v>
      </c>
      <c r="Q182" s="5">
        <f>IF(D182="High Street",1,0)</f>
        <v>1</v>
      </c>
      <c r="R182" s="5">
        <f>IF(D182="Airport",1,0)</f>
        <v>0</v>
      </c>
      <c r="S182" s="2">
        <v>87022.45</v>
      </c>
      <c r="T182" s="2">
        <v>643657.47</v>
      </c>
      <c r="U182" s="12">
        <f>66915.46892
+(1.209928492*E182)
+(27.33619482*F182)
+(-41243.14883*G182)
+(3508.399163*H182)
+(3062.210286*I182)
+(-3438.10791*J182)
+(15157.28728*K182)
+(12509.46131*L182)
+(-15342.70531*M182)
+(-4201.853217*N182)
+(-25291.41891*O182)
+(32832.85351*P182)
+(20219.25907*Q182)
+(44695.0949*R182)</f>
        <v>649748.48219868471</v>
      </c>
      <c r="V182">
        <f>T182-U182</f>
        <v>-6091.0121986847371</v>
      </c>
    </row>
    <row r="183" spans="1:22">
      <c r="A183" s="2" t="s">
        <v>22</v>
      </c>
      <c r="B183" s="3">
        <v>45717</v>
      </c>
      <c r="C183" s="2" t="s">
        <v>15</v>
      </c>
      <c r="D183" s="2" t="s">
        <v>16</v>
      </c>
      <c r="E183" s="2">
        <v>59909.51</v>
      </c>
      <c r="F183" s="2">
        <v>8895</v>
      </c>
      <c r="G183" s="2">
        <v>0.22800000000000001</v>
      </c>
      <c r="H183" s="2">
        <v>23</v>
      </c>
      <c r="I183" s="2">
        <v>88.8</v>
      </c>
      <c r="J183" s="2">
        <v>0.27</v>
      </c>
      <c r="K183" s="2">
        <v>0</v>
      </c>
      <c r="L183" s="2">
        <v>4.3</v>
      </c>
      <c r="M183" s="5">
        <f>IF(C183="North",1,0)</f>
        <v>0</v>
      </c>
      <c r="N183" s="5">
        <f>IF(C183="South",1,0)</f>
        <v>0</v>
      </c>
      <c r="O183" s="5">
        <f>IF(C183="East",1,0)</f>
        <v>1</v>
      </c>
      <c r="P183" s="5">
        <f>IF(D183="Mall",1,0)</f>
        <v>0</v>
      </c>
      <c r="Q183" s="5">
        <f>IF(D183="High Street",1,0)</f>
        <v>0</v>
      </c>
      <c r="R183" s="5">
        <f>IF(D183="Airport",1,0)</f>
        <v>0</v>
      </c>
      <c r="S183" s="2">
        <v>136816.72</v>
      </c>
      <c r="T183" s="2">
        <v>746501.09</v>
      </c>
      <c r="U183" s="12">
        <f>66915.46892
+(1.209928492*E183)
+(27.33619482*F183)
+(-41243.14883*G183)
+(3508.399163*H183)
+(3062.210286*I183)
+(-3438.10791*J183)
+(15157.28728*K183)
+(12509.46131*L183)
+(-15342.70531*M183)
+(-4201.853217*N183)
+(-25291.41891*O183)
+(32832.85351*P183)
+(20219.25907*Q183)
+(44695.0949*R183)</f>
        <v>753342.13673451892</v>
      </c>
      <c r="V183">
        <f>T183-U183</f>
        <v>-6841.0467345189536</v>
      </c>
    </row>
    <row r="184" spans="1:22">
      <c r="A184" s="2" t="s">
        <v>93</v>
      </c>
      <c r="B184" s="3">
        <v>45689</v>
      </c>
      <c r="C184" s="2" t="s">
        <v>27</v>
      </c>
      <c r="D184" s="2" t="s">
        <v>16</v>
      </c>
      <c r="E184" s="2">
        <v>74539.14</v>
      </c>
      <c r="F184" s="2">
        <v>4487</v>
      </c>
      <c r="G184" s="2">
        <v>0.14000000000000001</v>
      </c>
      <c r="H184" s="2">
        <v>10</v>
      </c>
      <c r="I184" s="2">
        <v>90.4</v>
      </c>
      <c r="J184" s="2">
        <v>0.59</v>
      </c>
      <c r="K184" s="2">
        <v>0</v>
      </c>
      <c r="L184" s="2">
        <v>4.5</v>
      </c>
      <c r="M184" s="5">
        <f>IF(C184="North",1,0)</f>
        <v>0</v>
      </c>
      <c r="N184" s="5">
        <f>IF(C184="South",1,0)</f>
        <v>0</v>
      </c>
      <c r="O184" s="5">
        <f>IF(C184="East",1,0)</f>
        <v>0</v>
      </c>
      <c r="P184" s="5">
        <f>IF(D184="Mall",1,0)</f>
        <v>0</v>
      </c>
      <c r="Q184" s="5">
        <f>IF(D184="High Street",1,0)</f>
        <v>0</v>
      </c>
      <c r="R184" s="5">
        <f>IF(D184="Airport",1,0)</f>
        <v>0</v>
      </c>
      <c r="S184" s="2">
        <v>123782.67</v>
      </c>
      <c r="T184" s="2">
        <v>633009.53</v>
      </c>
      <c r="U184" s="12">
        <f>66915.46892
+(1.209928492*E184)
+(27.33619482*F184)
+(-41243.14883*G184)
+(3508.399163*H184)
+(3062.210286*I184)
+(-3438.10791*J184)
+(15157.28728*K184)
+(12509.46131*L184)
+(-15342.70531*M184)
+(-4201.853217*N184)
+(-25291.41891*O184)
+(32832.85351*P184)
+(20219.25907*Q184)
+(44695.0949*R184)</f>
        <v>640157.85720881692</v>
      </c>
      <c r="V184">
        <f>T184-U184</f>
        <v>-7148.3272088168887</v>
      </c>
    </row>
    <row r="185" spans="1:22">
      <c r="A185" s="2" t="s">
        <v>95</v>
      </c>
      <c r="B185" s="3">
        <v>45748</v>
      </c>
      <c r="C185" s="2" t="s">
        <v>27</v>
      </c>
      <c r="D185" s="2" t="s">
        <v>18</v>
      </c>
      <c r="E185" s="2">
        <v>27398.28</v>
      </c>
      <c r="F185" s="2">
        <v>1723</v>
      </c>
      <c r="G185" s="2">
        <v>0.17100000000000001</v>
      </c>
      <c r="H185" s="2">
        <v>9</v>
      </c>
      <c r="I185" s="2">
        <v>81</v>
      </c>
      <c r="J185" s="2">
        <v>0.74</v>
      </c>
      <c r="K185" s="2">
        <v>0</v>
      </c>
      <c r="L185" s="2">
        <v>4.5999999999999996</v>
      </c>
      <c r="M185" s="5">
        <f>IF(C185="North",1,0)</f>
        <v>0</v>
      </c>
      <c r="N185" s="5">
        <f>IF(C185="South",1,0)</f>
        <v>0</v>
      </c>
      <c r="O185" s="5">
        <f>IF(C185="East",1,0)</f>
        <v>0</v>
      </c>
      <c r="P185" s="5">
        <f>IF(D185="Mall",1,0)</f>
        <v>0</v>
      </c>
      <c r="Q185" s="5">
        <f>IF(D185="High Street",1,0)</f>
        <v>1</v>
      </c>
      <c r="R185" s="5">
        <f>IF(D185="Airport",1,0)</f>
        <v>0</v>
      </c>
      <c r="S185" s="2">
        <v>96435.6</v>
      </c>
      <c r="T185" s="2">
        <v>487738.26</v>
      </c>
      <c r="U185" s="12">
        <f>66915.46892
+(1.209928492*E185)
+(27.33619482*F185)
+(-41243.14883*G185)
+(3508.399163*H185)
+(3062.210286*I185)
+(-3438.10791*J185)
+(15157.28728*K185)
+(12509.46131*L185)
+(-15342.70531*M185)
+(-4201.853217*N185)
+(-25291.41891*O185)
+(32832.85351*P185)
+(20219.25907*Q185)
+(44695.0949*R185)</f>
        <v>494946.32062432379</v>
      </c>
      <c r="V185">
        <f>T185-U185</f>
        <v>-7208.0606243237853</v>
      </c>
    </row>
    <row r="186" spans="1:22">
      <c r="A186" s="2" t="s">
        <v>95</v>
      </c>
      <c r="B186" s="3">
        <v>45717</v>
      </c>
      <c r="C186" s="2" t="s">
        <v>27</v>
      </c>
      <c r="D186" s="2" t="s">
        <v>18</v>
      </c>
      <c r="E186" s="2">
        <v>59825.51</v>
      </c>
      <c r="F186" s="2">
        <v>1231</v>
      </c>
      <c r="G186" s="2">
        <v>0.214</v>
      </c>
      <c r="H186" s="2">
        <v>10</v>
      </c>
      <c r="I186" s="2">
        <v>84.8</v>
      </c>
      <c r="J186" s="2">
        <v>8.9600000000000009</v>
      </c>
      <c r="K186" s="2">
        <v>0</v>
      </c>
      <c r="L186" s="2">
        <v>4.7</v>
      </c>
      <c r="M186" s="5">
        <f>IF(C186="North",1,0)</f>
        <v>0</v>
      </c>
      <c r="N186" s="5">
        <f>IF(C186="South",1,0)</f>
        <v>0</v>
      </c>
      <c r="O186" s="5">
        <f>IF(C186="East",1,0)</f>
        <v>0</v>
      </c>
      <c r="P186" s="5">
        <f>IF(D186="Mall",1,0)</f>
        <v>0</v>
      </c>
      <c r="Q186" s="5">
        <f>IF(D186="High Street",1,0)</f>
        <v>1</v>
      </c>
      <c r="R186" s="5">
        <f>IF(D186="Airport",1,0)</f>
        <v>0</v>
      </c>
      <c r="S186" s="2">
        <v>69656.7</v>
      </c>
      <c r="T186" s="2">
        <v>498970.32</v>
      </c>
      <c r="U186" s="12">
        <f>66915.46892
+(1.209928492*E186)
+(27.33619482*F186)
+(-41243.14883*G186)
+(3508.399163*H186)
+(3062.210286*I186)
+(-3438.10791*J186)
+(15157.28728*K186)
+(12509.46131*L186)
+(-15342.70531*M186)
+(-4201.853217*N186)
+(-25291.41891*O186)
+(32832.85351*P186)
+(20219.25907*Q186)
+(44695.0949*R186)</f>
        <v>507092.58422743098</v>
      </c>
      <c r="V186">
        <f>T186-U186</f>
        <v>-8122.2642274309765</v>
      </c>
    </row>
    <row r="187" spans="1:22">
      <c r="A187" s="2" t="s">
        <v>69</v>
      </c>
      <c r="B187" s="3">
        <v>45717</v>
      </c>
      <c r="C187" s="2" t="s">
        <v>15</v>
      </c>
      <c r="D187" s="2" t="s">
        <v>18</v>
      </c>
      <c r="E187" s="2">
        <v>37705.879999999997</v>
      </c>
      <c r="F187" s="2">
        <v>1268</v>
      </c>
      <c r="G187" s="2">
        <v>0.25900000000000001</v>
      </c>
      <c r="H187" s="2">
        <v>9</v>
      </c>
      <c r="I187" s="2">
        <v>84.1</v>
      </c>
      <c r="J187" s="2">
        <v>4.7699999999999996</v>
      </c>
      <c r="K187" s="2">
        <v>0</v>
      </c>
      <c r="L187" s="2">
        <v>3.8</v>
      </c>
      <c r="M187" s="5">
        <f>IF(C187="North",1,0)</f>
        <v>0</v>
      </c>
      <c r="N187" s="5">
        <f>IF(C187="South",1,0)</f>
        <v>0</v>
      </c>
      <c r="O187" s="5">
        <f>IF(C187="East",1,0)</f>
        <v>1</v>
      </c>
      <c r="P187" s="5">
        <f>IF(D187="Mall",1,0)</f>
        <v>0</v>
      </c>
      <c r="Q187" s="5">
        <f>IF(D187="High Street",1,0)</f>
        <v>1</v>
      </c>
      <c r="R187" s="5">
        <f>IF(D187="Airport",1,0)</f>
        <v>0</v>
      </c>
      <c r="S187" s="2">
        <v>53544.36</v>
      </c>
      <c r="T187" s="2">
        <v>443275.59</v>
      </c>
      <c r="U187" s="12">
        <f>66915.46892
+(1.209928492*E187)
+(27.33619482*F187)
+(-41243.14883*G187)
+(3508.399163*H187)
+(3062.210286*I187)
+(-3438.10791*J187)
+(15157.28728*K187)
+(12509.46131*L187)
+(-15342.70531*M187)
+(-4201.853217*N187)
+(-25291.41891*O187)
+(32832.85351*P187)
+(20219.25907*Q187)
+(44695.0949*R187)</f>
        <v>451688.70285962289</v>
      </c>
      <c r="V187">
        <f>T187-U187</f>
        <v>-8413.1128596228664</v>
      </c>
    </row>
    <row r="188" spans="1:22">
      <c r="A188" s="2" t="s">
        <v>66</v>
      </c>
      <c r="B188" s="3">
        <v>45717</v>
      </c>
      <c r="C188" s="2" t="s">
        <v>27</v>
      </c>
      <c r="D188" s="2" t="s">
        <v>21</v>
      </c>
      <c r="E188" s="2">
        <v>40535.089999999997</v>
      </c>
      <c r="F188" s="2">
        <v>8870</v>
      </c>
      <c r="G188" s="2">
        <v>4.1000000000000002E-2</v>
      </c>
      <c r="H188" s="2">
        <v>21</v>
      </c>
      <c r="I188" s="2">
        <v>86.6</v>
      </c>
      <c r="J188" s="2">
        <v>0.3</v>
      </c>
      <c r="K188" s="2">
        <v>0</v>
      </c>
      <c r="L188" s="2">
        <v>4.0999999999999996</v>
      </c>
      <c r="M188" s="5">
        <f>IF(C188="North",1,0)</f>
        <v>0</v>
      </c>
      <c r="N188" s="5">
        <f>IF(C188="South",1,0)</f>
        <v>0</v>
      </c>
      <c r="O188" s="5">
        <f>IF(C188="East",1,0)</f>
        <v>0</v>
      </c>
      <c r="P188" s="5">
        <f>IF(D188="Mall",1,0)</f>
        <v>0</v>
      </c>
      <c r="Q188" s="5">
        <f>IF(D188="High Street",1,0)</f>
        <v>0</v>
      </c>
      <c r="R188" s="5">
        <f>IF(D188="Airport",1,0)</f>
        <v>1</v>
      </c>
      <c r="S188" s="2">
        <v>152578.71</v>
      </c>
      <c r="T188" s="2">
        <v>781955.52</v>
      </c>
      <c r="U188" s="12">
        <f>66915.46892
+(1.209928492*E188)
+(27.33619482*F188)
+(-41243.14883*G188)
+(3508.399163*H188)
+(3062.210286*I188)
+(-3438.10791*J188)
+(15157.28728*K188)
+(12509.46131*L188)
+(-15342.70531*M188)
+(-4201.853217*N188)
+(-25291.41891*O188)
+(32832.85351*P188)
+(20219.25907*Q188)
+(44695.0949*R188)</f>
        <v>790557.35527675436</v>
      </c>
      <c r="V188">
        <f>T188-U188</f>
        <v>-8601.8352767543402</v>
      </c>
    </row>
    <row r="189" spans="1:22">
      <c r="A189" s="2" t="s">
        <v>88</v>
      </c>
      <c r="B189" s="3">
        <v>45658</v>
      </c>
      <c r="C189" s="2" t="s">
        <v>15</v>
      </c>
      <c r="D189" s="2" t="s">
        <v>18</v>
      </c>
      <c r="E189" s="2">
        <v>58981.91</v>
      </c>
      <c r="F189" s="2">
        <v>7324</v>
      </c>
      <c r="G189" s="2">
        <v>9.4E-2</v>
      </c>
      <c r="H189" s="2">
        <v>15</v>
      </c>
      <c r="I189" s="2">
        <v>95.8</v>
      </c>
      <c r="J189" s="2">
        <v>0.5</v>
      </c>
      <c r="K189" s="2">
        <v>0</v>
      </c>
      <c r="L189" s="2">
        <v>3.5</v>
      </c>
      <c r="M189" s="5">
        <f>IF(C189="North",1,0)</f>
        <v>0</v>
      </c>
      <c r="N189" s="5">
        <f>IF(C189="South",1,0)</f>
        <v>0</v>
      </c>
      <c r="O189" s="5">
        <f>IF(C189="East",1,0)</f>
        <v>1</v>
      </c>
      <c r="P189" s="5">
        <f>IF(D189="Mall",1,0)</f>
        <v>0</v>
      </c>
      <c r="Q189" s="5">
        <f>IF(D189="High Street",1,0)</f>
        <v>1</v>
      </c>
      <c r="R189" s="5">
        <f>IF(D189="Airport",1,0)</f>
        <v>0</v>
      </c>
      <c r="S189" s="2">
        <v>125368.16</v>
      </c>
      <c r="T189" s="2">
        <v>708985.19</v>
      </c>
      <c r="U189" s="12">
        <f>66915.46892
+(1.209928492*E189)
+(27.33619482*F189)
+(-41243.14883*G189)
+(3508.399163*H189)
+(3062.210286*I189)
+(-3438.10791*J189)
+(15157.28728*K189)
+(12509.46131*L189)
+(-15342.70531*M189)
+(-4201.853217*N189)
+(-25291.41891*O189)
+(32832.85351*P189)
+(20219.25907*Q189)
+(44695.0949*R189)</f>
        <v>717590.43084703968</v>
      </c>
      <c r="V189">
        <f>T189-U189</f>
        <v>-8605.2408470397349</v>
      </c>
    </row>
    <row r="190" spans="1:22">
      <c r="A190" s="2" t="s">
        <v>54</v>
      </c>
      <c r="B190" s="3">
        <v>45658</v>
      </c>
      <c r="C190" s="2" t="s">
        <v>15</v>
      </c>
      <c r="D190" s="2" t="s">
        <v>18</v>
      </c>
      <c r="E190" s="2">
        <v>66250.53</v>
      </c>
      <c r="F190" s="2">
        <v>10618</v>
      </c>
      <c r="G190" s="2">
        <v>0.14199999999999999</v>
      </c>
      <c r="H190" s="2">
        <v>27</v>
      </c>
      <c r="I190" s="2">
        <v>88.3</v>
      </c>
      <c r="J190" s="2">
        <v>1.1000000000000001</v>
      </c>
      <c r="K190" s="2">
        <v>1</v>
      </c>
      <c r="L190" s="2">
        <v>4.4000000000000004</v>
      </c>
      <c r="M190" s="5">
        <f>IF(C190="North",1,0)</f>
        <v>0</v>
      </c>
      <c r="N190" s="5">
        <f>IF(C190="South",1,0)</f>
        <v>0</v>
      </c>
      <c r="O190" s="5">
        <f>IF(C190="East",1,0)</f>
        <v>1</v>
      </c>
      <c r="P190" s="5">
        <f>IF(D190="Mall",1,0)</f>
        <v>0</v>
      </c>
      <c r="Q190" s="5">
        <f>IF(D190="High Street",1,0)</f>
        <v>1</v>
      </c>
      <c r="R190" s="5">
        <f>IF(D190="Airport",1,0)</f>
        <v>0</v>
      </c>
      <c r="S190" s="2">
        <v>149035.13</v>
      </c>
      <c r="T190" s="2">
        <v>849018.3</v>
      </c>
      <c r="U190" s="12">
        <f>66915.46892
+(1.209928492*E190)
+(27.33619482*F190)
+(-41243.14883*G190)
+(3508.399163*H190)
+(3062.210286*I190)
+(-3438.10791*J190)
+(15157.28728*K190)
+(12509.46131*L190)
+(-15342.70531*M190)
+(-4201.853217*N190)
+(-25291.41891*O190)
+(32832.85351*P190)
+(20219.25907*Q190)
+(44695.0949*R190)</f>
        <v>857937.84639980074</v>
      </c>
      <c r="V190">
        <f>T190-U190</f>
        <v>-8919.546399800689</v>
      </c>
    </row>
    <row r="191" spans="1:22">
      <c r="A191" s="2" t="s">
        <v>65</v>
      </c>
      <c r="B191" s="3">
        <v>45689</v>
      </c>
      <c r="C191" s="2" t="s">
        <v>15</v>
      </c>
      <c r="D191" s="2" t="s">
        <v>16</v>
      </c>
      <c r="E191" s="2">
        <v>43645.98</v>
      </c>
      <c r="F191" s="2">
        <v>9480</v>
      </c>
      <c r="G191" s="2">
        <v>0.109</v>
      </c>
      <c r="H191" s="2">
        <v>22</v>
      </c>
      <c r="I191" s="2">
        <v>89</v>
      </c>
      <c r="J191" s="2">
        <v>2.11</v>
      </c>
      <c r="K191" s="2">
        <v>0</v>
      </c>
      <c r="L191" s="2">
        <v>3.1</v>
      </c>
      <c r="M191" s="5">
        <f>IF(C191="North",1,0)</f>
        <v>0</v>
      </c>
      <c r="N191" s="5">
        <f>IF(C191="South",1,0)</f>
        <v>0</v>
      </c>
      <c r="O191" s="5">
        <f>IF(C191="East",1,0)</f>
        <v>1</v>
      </c>
      <c r="P191" s="5">
        <f>IF(D191="Mall",1,0)</f>
        <v>0</v>
      </c>
      <c r="Q191" s="5">
        <f>IF(D191="High Street",1,0)</f>
        <v>0</v>
      </c>
      <c r="R191" s="5">
        <f>IF(D191="Airport",1,0)</f>
        <v>0</v>
      </c>
      <c r="S191" s="2">
        <v>147272.81</v>
      </c>
      <c r="T191" s="2">
        <v>721364.11</v>
      </c>
      <c r="U191" s="12">
        <f>66915.46892
+(1.209928492*E191)
+(27.33619482*F191)
+(-41243.14883*G191)
+(3508.399163*H191)
+(3062.210286*I191)
+(-3438.10791*J191)
+(15157.28728*K191)
+(12509.46131*L191)
+(-15342.70531*M191)
+(-4201.853217*N191)
+(-25291.41891*O191)
+(32832.85351*P191)
+(20219.25907*Q191)
+(44695.0949*R191)</f>
        <v>730330.60785529204</v>
      </c>
      <c r="V191">
        <f>T191-U191</f>
        <v>-8966.4978552920511</v>
      </c>
    </row>
    <row r="192" spans="1:22">
      <c r="A192" s="2" t="s">
        <v>66</v>
      </c>
      <c r="B192" s="3">
        <v>45658</v>
      </c>
      <c r="C192" s="2" t="s">
        <v>27</v>
      </c>
      <c r="D192" s="2" t="s">
        <v>21</v>
      </c>
      <c r="E192" s="2">
        <v>67494.09</v>
      </c>
      <c r="F192" s="2">
        <v>12361</v>
      </c>
      <c r="G192" s="2">
        <v>4.5999999999999999E-2</v>
      </c>
      <c r="H192" s="2">
        <v>24</v>
      </c>
      <c r="I192" s="2">
        <v>76.599999999999994</v>
      </c>
      <c r="J192" s="2">
        <v>3.65</v>
      </c>
      <c r="K192" s="2">
        <v>1</v>
      </c>
      <c r="L192" s="2">
        <v>3.7</v>
      </c>
      <c r="M192" s="5">
        <f>IF(C192="North",1,0)</f>
        <v>0</v>
      </c>
      <c r="N192" s="5">
        <f>IF(C192="South",1,0)</f>
        <v>0</v>
      </c>
      <c r="O192" s="5">
        <f>IF(C192="East",1,0)</f>
        <v>0</v>
      </c>
      <c r="P192" s="5">
        <f>IF(D192="Mall",1,0)</f>
        <v>0</v>
      </c>
      <c r="Q192" s="5">
        <f>IF(D192="High Street",1,0)</f>
        <v>0</v>
      </c>
      <c r="R192" s="5">
        <f>IF(D192="Airport",1,0)</f>
        <v>1</v>
      </c>
      <c r="S192" s="2">
        <v>160362.92000000001</v>
      </c>
      <c r="T192" s="2">
        <v>887537.75</v>
      </c>
      <c r="U192" s="12">
        <f>66915.46892
+(1.209928492*E192)
+(27.33619482*F192)
+(-41243.14883*G192)
+(3508.399163*H192)
+(3062.210286*I192)
+(-3438.10791*J192)
+(15157.28728*K192)
+(12509.46131*L192)
+(-15342.70531*M192)
+(-4201.853217*N192)
+(-25291.41891*O192)
+(32832.85351*P192)
+(20219.25907*Q192)
+(44695.0949*R192)</f>
        <v>896939.19375155226</v>
      </c>
      <c r="V192">
        <f>T192-U192</f>
        <v>-9401.4437515522586</v>
      </c>
    </row>
    <row r="193" spans="1:22">
      <c r="A193" s="2" t="s">
        <v>54</v>
      </c>
      <c r="B193" s="3">
        <v>45689</v>
      </c>
      <c r="C193" s="2" t="s">
        <v>15</v>
      </c>
      <c r="D193" s="2" t="s">
        <v>18</v>
      </c>
      <c r="E193" s="2">
        <v>68410.929999999993</v>
      </c>
      <c r="F193" s="2">
        <v>10596</v>
      </c>
      <c r="G193" s="2">
        <v>0.20699999999999999</v>
      </c>
      <c r="H193" s="2">
        <v>25</v>
      </c>
      <c r="I193" s="2">
        <v>81.2</v>
      </c>
      <c r="J193" s="2">
        <v>0.21</v>
      </c>
      <c r="K193" s="2">
        <v>0</v>
      </c>
      <c r="L193" s="2">
        <v>4</v>
      </c>
      <c r="M193" s="5">
        <f>IF(C193="North",1,0)</f>
        <v>0</v>
      </c>
      <c r="N193" s="5">
        <f>IF(C193="South",1,0)</f>
        <v>0</v>
      </c>
      <c r="O193" s="5">
        <f>IF(C193="East",1,0)</f>
        <v>1</v>
      </c>
      <c r="P193" s="5">
        <f>IF(D193="Mall",1,0)</f>
        <v>0</v>
      </c>
      <c r="Q193" s="5">
        <f>IF(D193="High Street",1,0)</f>
        <v>1</v>
      </c>
      <c r="R193" s="5">
        <f>IF(D193="Airport",1,0)</f>
        <v>0</v>
      </c>
      <c r="S193" s="2">
        <v>114875.32</v>
      </c>
      <c r="T193" s="2">
        <v>801830.35</v>
      </c>
      <c r="U193" s="12">
        <f>66915.46892
+(1.209928492*E193)
+(27.33619482*F193)
+(-41243.14883*G193)
+(3508.399163*H193)
+(3062.210286*I193)
+(-3438.10791*J193)
+(15157.28728*K193)
+(12509.46131*L193)
+(-15342.70531*M193)
+(-4201.853217*N193)
+(-25291.41891*O193)
+(32832.85351*P193)
+(20219.25907*Q193)
+(44695.0949*R193)</f>
        <v>811409.92783322756</v>
      </c>
      <c r="V193">
        <f>T193-U193</f>
        <v>-9579.5778332275804</v>
      </c>
    </row>
    <row r="194" spans="1:22">
      <c r="A194" s="2" t="s">
        <v>62</v>
      </c>
      <c r="B194" s="3">
        <v>45717</v>
      </c>
      <c r="C194" s="2" t="s">
        <v>24</v>
      </c>
      <c r="D194" s="2" t="s">
        <v>18</v>
      </c>
      <c r="E194" s="2">
        <v>57143.3</v>
      </c>
      <c r="F194" s="2">
        <v>8038</v>
      </c>
      <c r="G194" s="2">
        <v>0.193</v>
      </c>
      <c r="H194" s="2">
        <v>17</v>
      </c>
      <c r="I194" s="2">
        <v>72.599999999999994</v>
      </c>
      <c r="J194" s="2">
        <v>3.3650000000000002</v>
      </c>
      <c r="K194" s="2">
        <v>0</v>
      </c>
      <c r="L194" s="2">
        <v>4.2</v>
      </c>
      <c r="M194" s="5">
        <f>IF(C194="North",1,0)</f>
        <v>0</v>
      </c>
      <c r="N194" s="5">
        <f>IF(C194="South",1,0)</f>
        <v>1</v>
      </c>
      <c r="O194" s="5">
        <f>IF(C194="East",1,0)</f>
        <v>0</v>
      </c>
      <c r="P194" s="5">
        <f>IF(D194="Mall",1,0)</f>
        <v>0</v>
      </c>
      <c r="Q194" s="5">
        <f>IF(D194="High Street",1,0)</f>
        <v>1</v>
      </c>
      <c r="R194" s="5">
        <f>IF(D194="Airport",1,0)</f>
        <v>0</v>
      </c>
      <c r="S194" s="2">
        <v>97174.11</v>
      </c>
      <c r="T194" s="2">
        <v>677096.71</v>
      </c>
      <c r="U194" s="12">
        <f>66915.46892
+(1.209928492*E194)
+(27.33619482*F194)
+(-41243.14883*G194)
+(3508.399163*H194)
+(3062.210286*I194)
+(-3438.10791*J194)
+(15157.28728*K194)
+(12509.46131*L194)
+(-15342.70531*M194)
+(-4201.853217*N194)
+(-25291.41891*O194)
+(32832.85351*P194)
+(20219.25907*Q194)
+(44695.0949*R194)</f>
        <v>686770.34472832363</v>
      </c>
      <c r="V194">
        <f>T194-U194</f>
        <v>-9673.6347283236682</v>
      </c>
    </row>
    <row r="195" spans="1:22">
      <c r="A195" s="2" t="s">
        <v>60</v>
      </c>
      <c r="B195" s="3">
        <v>45748</v>
      </c>
      <c r="C195" s="2" t="s">
        <v>15</v>
      </c>
      <c r="D195" s="2" t="s">
        <v>18</v>
      </c>
      <c r="E195" s="2">
        <v>42698.14</v>
      </c>
      <c r="F195" s="2">
        <v>7693</v>
      </c>
      <c r="G195" s="2">
        <v>0.187</v>
      </c>
      <c r="H195" s="2">
        <v>19</v>
      </c>
      <c r="I195" s="2">
        <v>90.1</v>
      </c>
      <c r="J195" s="2">
        <v>0.44</v>
      </c>
      <c r="K195" s="2">
        <v>0</v>
      </c>
      <c r="L195" s="2">
        <v>4.4000000000000004</v>
      </c>
      <c r="M195" s="5">
        <f>IF(C195="North",1,0)</f>
        <v>0</v>
      </c>
      <c r="N195" s="5">
        <f>IF(C195="South",1,0)</f>
        <v>0</v>
      </c>
      <c r="O195" s="5">
        <f>IF(C195="East",1,0)</f>
        <v>1</v>
      </c>
      <c r="P195" s="5">
        <f>IF(D195="Mall",1,0)</f>
        <v>0</v>
      </c>
      <c r="Q195" s="5">
        <f>IF(D195="High Street",1,0)</f>
        <v>1</v>
      </c>
      <c r="R195" s="5">
        <f>IF(D195="Airport",1,0)</f>
        <v>0</v>
      </c>
      <c r="S195" s="2">
        <v>112829.29</v>
      </c>
      <c r="T195" s="2">
        <v>702318.94</v>
      </c>
      <c r="U195" s="12">
        <f>66915.46892
+(1.209928492*E195)
+(27.33619482*F195)
+(-41243.14883*G195)
+(3508.399163*H195)
+(3062.210286*I195)
+(-3438.10791*J195)
+(15157.28728*K195)
+(12509.46131*L195)
+(-15342.70531*M195)
+(-4201.853217*N195)
+(-25291.41891*O195)
+(32832.85351*P195)
+(20219.25907*Q195)
+(44695.0949*R195)</f>
        <v>712183.47628965485</v>
      </c>
      <c r="V195">
        <f>T195-U195</f>
        <v>-9864.536289654905</v>
      </c>
    </row>
    <row r="196" spans="1:22">
      <c r="A196" s="2" t="s">
        <v>86</v>
      </c>
      <c r="B196" s="3">
        <v>45717</v>
      </c>
      <c r="C196" s="2" t="s">
        <v>24</v>
      </c>
      <c r="D196" s="2" t="s">
        <v>28</v>
      </c>
      <c r="E196" s="2">
        <v>44189.34</v>
      </c>
      <c r="F196" s="2">
        <v>8634</v>
      </c>
      <c r="G196" s="2">
        <v>0.14299999999999999</v>
      </c>
      <c r="H196" s="2">
        <v>19</v>
      </c>
      <c r="I196" s="2">
        <v>87.5</v>
      </c>
      <c r="J196" s="2">
        <v>3.69</v>
      </c>
      <c r="K196" s="2">
        <v>0</v>
      </c>
      <c r="L196" s="2">
        <v>4.4000000000000004</v>
      </c>
      <c r="M196" s="5">
        <f>IF(C196="North",1,0)</f>
        <v>0</v>
      </c>
      <c r="N196" s="5">
        <f>IF(C196="South",1,0)</f>
        <v>1</v>
      </c>
      <c r="O196" s="5">
        <f>IF(C196="East",1,0)</f>
        <v>0</v>
      </c>
      <c r="P196" s="5">
        <f>IF(D196="Mall",1,0)</f>
        <v>1</v>
      </c>
      <c r="Q196" s="5">
        <f>IF(D196="High Street",1,0)</f>
        <v>0</v>
      </c>
      <c r="R196" s="5">
        <f>IF(D196="Airport",1,0)</f>
        <v>0</v>
      </c>
      <c r="S196" s="2">
        <v>94662.96</v>
      </c>
      <c r="T196" s="2">
        <v>746115.59</v>
      </c>
      <c r="U196" s="12">
        <f>66915.46892
+(1.209928492*E196)
+(27.33619482*F196)
+(-41243.14883*G196)
+(3508.399163*H196)
+(3062.210286*I196)
+(-3438.10791*J196)
+(15157.28728*K196)
+(12509.46131*L196)
+(-15342.70531*M196)
+(-4201.853217*N196)
+(-25291.41891*O196)
+(32832.85351*P196)
+(20219.25907*Q196)
+(44695.0949*R196)</f>
        <v>756093.34221296525</v>
      </c>
      <c r="V196">
        <f>T196-U196</f>
        <v>-9977.7522129652789</v>
      </c>
    </row>
    <row r="197" spans="1:22">
      <c r="A197" s="2" t="s">
        <v>45</v>
      </c>
      <c r="B197" s="3">
        <v>45748</v>
      </c>
      <c r="C197" s="2" t="s">
        <v>27</v>
      </c>
      <c r="D197" s="2" t="s">
        <v>16</v>
      </c>
      <c r="E197" s="2">
        <v>9534.65</v>
      </c>
      <c r="F197" s="2">
        <v>6057</v>
      </c>
      <c r="G197" s="2">
        <v>7.3999999999999996E-2</v>
      </c>
      <c r="H197" s="2">
        <v>15</v>
      </c>
      <c r="I197" s="2">
        <v>94.1</v>
      </c>
      <c r="J197" s="2">
        <v>5.79</v>
      </c>
      <c r="K197" s="2">
        <v>0</v>
      </c>
      <c r="L197" s="2">
        <v>4.5</v>
      </c>
      <c r="M197" s="5">
        <f>IF(C197="North",1,0)</f>
        <v>0</v>
      </c>
      <c r="N197" s="5">
        <f>IF(C197="South",1,0)</f>
        <v>0</v>
      </c>
      <c r="O197" s="5">
        <f>IF(C197="East",1,0)</f>
        <v>0</v>
      </c>
      <c r="P197" s="5">
        <f>IF(D197="Mall",1,0)</f>
        <v>0</v>
      </c>
      <c r="Q197" s="5">
        <f>IF(D197="High Street",1,0)</f>
        <v>0</v>
      </c>
      <c r="R197" s="5">
        <f>IF(D197="Airport",1,0)</f>
        <v>0</v>
      </c>
      <c r="S197" s="2">
        <v>135404.85</v>
      </c>
      <c r="T197" s="2">
        <v>607898.12</v>
      </c>
      <c r="U197" s="12">
        <f>66915.46892
+(1.209928492*E197)
+(27.33619482*F197)
+(-41243.14883*G197)
+(3508.399163*H197)
+(3062.210286*I197)
+(-3438.10791*J197)
+(15157.28728*K197)
+(12509.46131*L197)
+(-15342.70531*M197)
+(-4201.853217*N197)
+(-25291.41891*O197)
+(32832.85351*P197)
+(20219.25907*Q197)
+(44695.0949*R197)</f>
        <v>618140.95908126782</v>
      </c>
      <c r="V197">
        <f>T197-U197</f>
        <v>-10242.839081267826</v>
      </c>
    </row>
    <row r="198" spans="1:22">
      <c r="A198" s="2" t="s">
        <v>81</v>
      </c>
      <c r="B198" s="3">
        <v>45717</v>
      </c>
      <c r="C198" s="2" t="s">
        <v>27</v>
      </c>
      <c r="D198" s="2" t="s">
        <v>28</v>
      </c>
      <c r="E198" s="2">
        <v>59060.05</v>
      </c>
      <c r="F198" s="2">
        <v>9702</v>
      </c>
      <c r="G198" s="2">
        <v>0.20100000000000001</v>
      </c>
      <c r="H198" s="2">
        <v>23</v>
      </c>
      <c r="I198" s="2">
        <v>80.900000000000006</v>
      </c>
      <c r="J198" s="2">
        <v>6.96</v>
      </c>
      <c r="K198" s="2">
        <v>0</v>
      </c>
      <c r="L198" s="2">
        <v>3.2</v>
      </c>
      <c r="M198" s="5">
        <f>IF(C198="North",1,0)</f>
        <v>0</v>
      </c>
      <c r="N198" s="5">
        <f>IF(C198="South",1,0)</f>
        <v>0</v>
      </c>
      <c r="O198" s="5">
        <f>IF(C198="East",1,0)</f>
        <v>0</v>
      </c>
      <c r="P198" s="5">
        <f>IF(D198="Mall",1,0)</f>
        <v>1</v>
      </c>
      <c r="Q198" s="5">
        <f>IF(D198="High Street",1,0)</f>
        <v>0</v>
      </c>
      <c r="R198" s="5">
        <f>IF(D198="Airport",1,0)</f>
        <v>0</v>
      </c>
      <c r="S198" s="2">
        <v>111893.06</v>
      </c>
      <c r="T198" s="2">
        <v>761919.25</v>
      </c>
      <c r="U198" s="12">
        <f>66915.46892
+(1.209928492*E198)
+(27.33619482*F198)
+(-41243.14883*G198)
+(3508.399163*H198)
+(3062.210286*I198)
+(-3438.10791*J198)
+(15157.28728*K198)
+(12509.46131*L198)
+(-15342.70531*M198)
+(-4201.853217*N198)
+(-25291.41891*O198)
+(32832.85351*P198)
+(20219.25907*Q198)
+(44695.0949*R198)</f>
        <v>772659.6869175547</v>
      </c>
      <c r="V198">
        <f>T198-U198</f>
        <v>-10740.436917554704</v>
      </c>
    </row>
    <row r="199" spans="1:22">
      <c r="A199" s="2" t="s">
        <v>84</v>
      </c>
      <c r="B199" s="3">
        <v>45689</v>
      </c>
      <c r="C199" s="2" t="s">
        <v>20</v>
      </c>
      <c r="D199" s="2" t="s">
        <v>18</v>
      </c>
      <c r="E199" s="2">
        <v>72932.55</v>
      </c>
      <c r="F199" s="2">
        <v>5765</v>
      </c>
      <c r="G199" s="2">
        <v>2.5999999999999999E-2</v>
      </c>
      <c r="H199" s="2">
        <v>17</v>
      </c>
      <c r="I199" s="2">
        <v>81.8</v>
      </c>
      <c r="J199" s="2">
        <v>5.0999999999999996</v>
      </c>
      <c r="K199" s="2">
        <v>0</v>
      </c>
      <c r="L199" s="2">
        <v>3.6</v>
      </c>
      <c r="M199" s="5">
        <f>IF(C199="North",1,0)</f>
        <v>1</v>
      </c>
      <c r="N199" s="5">
        <f>IF(C199="South",1,0)</f>
        <v>0</v>
      </c>
      <c r="O199" s="5">
        <f>IF(C199="East",1,0)</f>
        <v>0</v>
      </c>
      <c r="P199" s="5">
        <f>IF(D199="Mall",1,0)</f>
        <v>0</v>
      </c>
      <c r="Q199" s="5">
        <f>IF(D199="High Street",1,0)</f>
        <v>1</v>
      </c>
      <c r="R199" s="5">
        <f>IF(D199="Airport",1,0)</f>
        <v>0</v>
      </c>
      <c r="S199" s="2">
        <v>131942.15</v>
      </c>
      <c r="T199" s="2">
        <v>642751.42000000004</v>
      </c>
      <c r="U199" s="12">
        <f>66915.46892
+(1.209928492*E199)
+(27.33619482*F199)
+(-41243.14883*G199)
+(3508.399163*H199)
+(3062.210286*I199)
+(-3438.10791*J199)
+(15157.28728*K199)
+(12509.46131*L199)
+(-15342.70531*M199)
+(-4201.853217*N199)
+(-25291.41891*O199)
+(32832.85351*P199)
+(20219.25907*Q199)
+(44695.0949*R199)</f>
        <v>654187.33172773465</v>
      </c>
      <c r="V199">
        <f>T199-U199</f>
        <v>-11435.911727734609</v>
      </c>
    </row>
    <row r="200" spans="1:22">
      <c r="A200" s="2" t="s">
        <v>87</v>
      </c>
      <c r="B200" s="3">
        <v>45689</v>
      </c>
      <c r="C200" s="2" t="s">
        <v>27</v>
      </c>
      <c r="D200" s="2" t="s">
        <v>18</v>
      </c>
      <c r="E200" s="2">
        <v>43288.2</v>
      </c>
      <c r="F200" s="2">
        <v>4783</v>
      </c>
      <c r="G200" s="2">
        <v>0.16900000000000001</v>
      </c>
      <c r="H200" s="2">
        <v>13</v>
      </c>
      <c r="I200" s="2">
        <v>87.3</v>
      </c>
      <c r="J200" s="2">
        <v>3.3650000000000002</v>
      </c>
      <c r="K200" s="2">
        <v>0</v>
      </c>
      <c r="L200" s="2">
        <v>4.2</v>
      </c>
      <c r="M200" s="5">
        <f>IF(C200="North",1,0)</f>
        <v>0</v>
      </c>
      <c r="N200" s="5">
        <f>IF(C200="South",1,0)</f>
        <v>0</v>
      </c>
      <c r="O200" s="5">
        <f>IF(C200="East",1,0)</f>
        <v>0</v>
      </c>
      <c r="P200" s="5">
        <f>IF(D200="Mall",1,0)</f>
        <v>0</v>
      </c>
      <c r="Q200" s="5">
        <f>IF(D200="High Street",1,0)</f>
        <v>1</v>
      </c>
      <c r="R200" s="5">
        <f>IF(D200="Airport",1,0)</f>
        <v>0</v>
      </c>
      <c r="S200" s="2">
        <v>60685.53</v>
      </c>
      <c r="T200" s="2">
        <v>605751.32999999996</v>
      </c>
      <c r="U200" s="12">
        <f>66915.46892
+(1.209928492*E200)
+(27.33619482*F200)
+(-41243.14883*G200)
+(3508.399163*H200)
+(3062.210286*I200)
+(-3438.10791*J200)
+(15157.28728*K200)
+(12509.46131*L200)
+(-15342.70531*M200)
+(-4201.853217*N200)
+(-25291.41891*O200)
+(32832.85351*P200)
+(20219.25907*Q200)
+(44695.0949*R200)</f>
        <v>617199.93368083437</v>
      </c>
      <c r="V200">
        <f>T200-U200</f>
        <v>-11448.603680834407</v>
      </c>
    </row>
    <row r="201" spans="1:22">
      <c r="A201" s="2" t="s">
        <v>23</v>
      </c>
      <c r="B201" s="3">
        <v>45658</v>
      </c>
      <c r="C201" s="2" t="s">
        <v>24</v>
      </c>
      <c r="D201" s="2" t="s">
        <v>16</v>
      </c>
      <c r="E201" s="2">
        <v>48804.22</v>
      </c>
      <c r="F201" s="2">
        <v>7057</v>
      </c>
      <c r="G201" s="2">
        <v>5.0000000000000001E-3</v>
      </c>
      <c r="H201" s="2">
        <v>15</v>
      </c>
      <c r="I201" s="2">
        <v>87.7</v>
      </c>
      <c r="J201" s="2">
        <v>1.22</v>
      </c>
      <c r="K201" s="2">
        <v>0</v>
      </c>
      <c r="L201" s="2">
        <v>3.7</v>
      </c>
      <c r="M201" s="5">
        <f>IF(C201="North",1,0)</f>
        <v>0</v>
      </c>
      <c r="N201" s="5">
        <f>IF(C201="South",1,0)</f>
        <v>1</v>
      </c>
      <c r="O201" s="5">
        <f>IF(C201="East",1,0)</f>
        <v>0</v>
      </c>
      <c r="P201" s="5">
        <f>IF(D201="Mall",1,0)</f>
        <v>0</v>
      </c>
      <c r="Q201" s="5">
        <f>IF(D201="High Street",1,0)</f>
        <v>0</v>
      </c>
      <c r="R201" s="5">
        <f>IF(D201="Airport",1,0)</f>
        <v>0</v>
      </c>
      <c r="S201" s="2">
        <v>107490.58</v>
      </c>
      <c r="T201" s="2">
        <v>666152.52</v>
      </c>
      <c r="U201" s="12">
        <f>66915.46892
+(1.209928492*E201)
+(27.33619482*F201)
+(-41243.14883*G201)
+(3508.399163*H201)
+(3062.210286*I201)
+(-3438.10791*J201)
+(15157.28728*K201)
+(12509.46131*L201)
+(-15342.70531*M201)
+(-4201.853217*N201)
+(-25291.41891*O201)
+(32832.85351*P201)
+(20219.25907*Q201)
+(44695.0949*R201)</f>
        <v>677740.88783542614</v>
      </c>
      <c r="V201">
        <f>T201-U201</f>
        <v>-11588.367835426121</v>
      </c>
    </row>
    <row r="202" spans="1:22">
      <c r="A202" s="2" t="s">
        <v>25</v>
      </c>
      <c r="B202" s="3">
        <v>45689</v>
      </c>
      <c r="C202" s="2" t="s">
        <v>20</v>
      </c>
      <c r="D202" s="2" t="s">
        <v>16</v>
      </c>
      <c r="E202" s="2">
        <v>33518.879999999997</v>
      </c>
      <c r="F202" s="2">
        <v>2121</v>
      </c>
      <c r="G202" s="2">
        <v>0.17599999999999999</v>
      </c>
      <c r="H202" s="2">
        <v>8</v>
      </c>
      <c r="I202" s="2">
        <v>88.5</v>
      </c>
      <c r="J202" s="2">
        <v>0.2</v>
      </c>
      <c r="K202" s="2">
        <v>0</v>
      </c>
      <c r="L202" s="2">
        <v>5</v>
      </c>
      <c r="M202" s="5">
        <f>IF(C202="North",1,0)</f>
        <v>1</v>
      </c>
      <c r="N202" s="5">
        <f>IF(C202="South",1,0)</f>
        <v>0</v>
      </c>
      <c r="O202" s="5">
        <f>IF(C202="East",1,0)</f>
        <v>0</v>
      </c>
      <c r="P202" s="5">
        <f>IF(D202="Mall",1,0)</f>
        <v>0</v>
      </c>
      <c r="Q202" s="5">
        <f>IF(D202="High Street",1,0)</f>
        <v>0</v>
      </c>
      <c r="R202" s="5">
        <f>IF(D202="Airport",1,0)</f>
        <v>0</v>
      </c>
      <c r="S202" s="2">
        <v>79212.259999999995</v>
      </c>
      <c r="T202" s="2">
        <v>491905.13</v>
      </c>
      <c r="U202" s="12">
        <f>66915.46892
+(1.209928492*E202)
+(27.33619482*F202)
+(-41243.14883*G202)
+(3508.399163*H202)
+(3062.210286*I202)
+(-3438.10791*J202)
+(15157.28728*K202)
+(12509.46131*L202)
+(-15342.70531*M202)
+(-4201.853217*N202)
+(-25291.41891*O202)
+(32832.85351*P202)
+(20219.25907*Q202)
+(44695.0949*R202)</f>
        <v>503781.975144069</v>
      </c>
      <c r="V202">
        <f>T202-U202</f>
        <v>-11876.845144068997</v>
      </c>
    </row>
    <row r="203" spans="1:22">
      <c r="A203" s="2" t="s">
        <v>97</v>
      </c>
      <c r="B203" s="3">
        <v>45689</v>
      </c>
      <c r="C203" s="2" t="s">
        <v>20</v>
      </c>
      <c r="D203" s="2" t="s">
        <v>28</v>
      </c>
      <c r="E203" s="2">
        <v>63986.98</v>
      </c>
      <c r="F203" s="2">
        <v>7989</v>
      </c>
      <c r="G203" s="2">
        <v>7.3999999999999996E-2</v>
      </c>
      <c r="H203" s="2">
        <v>20</v>
      </c>
      <c r="I203" s="2">
        <v>83.3</v>
      </c>
      <c r="J203" s="2">
        <v>3.6</v>
      </c>
      <c r="K203" s="2">
        <v>0</v>
      </c>
      <c r="L203" s="2">
        <v>3.7</v>
      </c>
      <c r="M203" s="5">
        <f>IF(C203="North",1,0)</f>
        <v>1</v>
      </c>
      <c r="N203" s="5">
        <f>IF(C203="South",1,0)</f>
        <v>0</v>
      </c>
      <c r="O203" s="5">
        <f>IF(C203="East",1,0)</f>
        <v>0</v>
      </c>
      <c r="P203" s="5">
        <f>IF(D203="Mall",1,0)</f>
        <v>1</v>
      </c>
      <c r="Q203" s="5">
        <f>IF(D203="High Street",1,0)</f>
        <v>0</v>
      </c>
      <c r="R203" s="5">
        <f>IF(D203="Airport",1,0)</f>
        <v>0</v>
      </c>
      <c r="S203" s="2">
        <v>155013.91</v>
      </c>
      <c r="T203" s="2">
        <v>724346.73</v>
      </c>
      <c r="U203" s="12">
        <f>66915.46892
+(1.209928492*E203)
+(27.33619482*F203)
+(-41243.14883*G203)
+(3508.399163*H203)
+(3062.210286*I203)
+(-3438.10791*J203)
+(15157.28728*K203)
+(12509.46131*L203)
+(-15342.70531*M203)
+(-4201.853217*N203)
+(-25291.41891*O203)
+(32832.85351*P203)
+(20219.25907*Q203)
+(44695.0949*R203)</f>
        <v>736320.07319739414</v>
      </c>
      <c r="V203">
        <f>T203-U203</f>
        <v>-11973.343197394162</v>
      </c>
    </row>
    <row r="204" spans="1:22">
      <c r="A204" s="2" t="s">
        <v>17</v>
      </c>
      <c r="B204" s="3">
        <v>45689</v>
      </c>
      <c r="C204" s="2" t="s">
        <v>15</v>
      </c>
      <c r="D204" s="2" t="s">
        <v>18</v>
      </c>
      <c r="E204" s="2">
        <v>64811.21</v>
      </c>
      <c r="F204" s="2">
        <v>9792</v>
      </c>
      <c r="G204" s="2">
        <v>0.112</v>
      </c>
      <c r="H204" s="2">
        <v>20</v>
      </c>
      <c r="I204" s="2">
        <v>84.2</v>
      </c>
      <c r="J204" s="2">
        <v>2.88</v>
      </c>
      <c r="K204" s="2">
        <v>0</v>
      </c>
      <c r="L204" s="2">
        <v>4.2</v>
      </c>
      <c r="M204" s="5">
        <f>IF(C204="North",1,0)</f>
        <v>0</v>
      </c>
      <c r="N204" s="5">
        <f>IF(C204="South",1,0)</f>
        <v>0</v>
      </c>
      <c r="O204" s="5">
        <f>IF(C204="East",1,0)</f>
        <v>1</v>
      </c>
      <c r="P204" s="5">
        <f>IF(D204="Mall",1,0)</f>
        <v>0</v>
      </c>
      <c r="Q204" s="5">
        <f>IF(D204="High Street",1,0)</f>
        <v>1</v>
      </c>
      <c r="R204" s="5">
        <f>IF(D204="Airport",1,0)</f>
        <v>0</v>
      </c>
      <c r="S204" s="2">
        <v>149602.23000000001</v>
      </c>
      <c r="T204" s="2">
        <v>761835.34</v>
      </c>
      <c r="U204" s="12">
        <f>66915.46892
+(1.209928492*E204)
+(27.33619482*F204)
+(-41243.14883*G204)
+(3508.399163*H204)
+(3062.210286*I204)
+(-3438.10791*J204)
+(15157.28728*K204)
+(12509.46131*L204)
+(-15342.70531*M204)
+(-4201.853217*N204)
+(-25291.41891*O204)
+(32832.85351*P204)
+(20219.25907*Q204)
+(44695.0949*R204)</f>
        <v>773961.10173087532</v>
      </c>
      <c r="V204">
        <f>T204-U204</f>
        <v>-12125.761730875354</v>
      </c>
    </row>
    <row r="205" spans="1:22">
      <c r="A205" s="2" t="s">
        <v>63</v>
      </c>
      <c r="B205" s="3">
        <v>45717</v>
      </c>
      <c r="C205" s="2" t="s">
        <v>20</v>
      </c>
      <c r="D205" s="2" t="s">
        <v>28</v>
      </c>
      <c r="E205" s="2">
        <v>30301.86</v>
      </c>
      <c r="F205" s="2">
        <v>6939</v>
      </c>
      <c r="G205" s="2">
        <v>0.09</v>
      </c>
      <c r="H205" s="2">
        <v>16</v>
      </c>
      <c r="I205" s="2">
        <v>90.3</v>
      </c>
      <c r="J205" s="2">
        <v>3.49</v>
      </c>
      <c r="K205" s="2">
        <v>0</v>
      </c>
      <c r="L205" s="2">
        <v>4</v>
      </c>
      <c r="M205" s="5">
        <f>IF(C205="North",1,0)</f>
        <v>1</v>
      </c>
      <c r="N205" s="5">
        <f>IF(C205="South",1,0)</f>
        <v>0</v>
      </c>
      <c r="O205" s="5">
        <f>IF(C205="East",1,0)</f>
        <v>0</v>
      </c>
      <c r="P205" s="5">
        <f>IF(D205="Mall",1,0)</f>
        <v>1</v>
      </c>
      <c r="Q205" s="5">
        <f>IF(D205="High Street",1,0)</f>
        <v>0</v>
      </c>
      <c r="R205" s="5">
        <f>IF(D205="Airport",1,0)</f>
        <v>0</v>
      </c>
      <c r="S205" s="2">
        <v>113167.73</v>
      </c>
      <c r="T205" s="2">
        <v>665534.69999999995</v>
      </c>
      <c r="U205" s="12">
        <f>66915.46892
+(1.209928492*E205)
+(27.33619482*F205)
+(-41243.14883*G205)
+(3508.399163*H205)
+(3062.210286*I205)
+(-3438.10791*J205)
+(15157.28728*K205)
+(12509.46131*L205)
+(-15342.70531*M205)
+(-4201.853217*N205)
+(-25291.41891*O205)
+(32832.85351*P205)
+(20219.25907*Q205)
+(44695.0949*R205)</f>
        <v>677733.49742377526</v>
      </c>
      <c r="V205">
        <f>T205-U205</f>
        <v>-12198.797423775308</v>
      </c>
    </row>
    <row r="206" spans="1:22">
      <c r="A206" s="2" t="s">
        <v>89</v>
      </c>
      <c r="B206" s="3">
        <v>45717</v>
      </c>
      <c r="C206" s="2" t="s">
        <v>15</v>
      </c>
      <c r="D206" s="2" t="s">
        <v>28</v>
      </c>
      <c r="E206" s="2">
        <v>61995.3</v>
      </c>
      <c r="F206" s="2">
        <v>10192</v>
      </c>
      <c r="G206" s="2">
        <v>0.19800000000000001</v>
      </c>
      <c r="H206" s="2">
        <v>21</v>
      </c>
      <c r="I206" s="2">
        <v>87.6</v>
      </c>
      <c r="J206" s="2">
        <v>3.63</v>
      </c>
      <c r="K206" s="2">
        <v>1</v>
      </c>
      <c r="L206" s="2">
        <v>3.8</v>
      </c>
      <c r="M206" s="5">
        <f>IF(C206="North",1,0)</f>
        <v>0</v>
      </c>
      <c r="N206" s="5">
        <f>IF(C206="South",1,0)</f>
        <v>0</v>
      </c>
      <c r="O206" s="5">
        <f>IF(C206="East",1,0)</f>
        <v>1</v>
      </c>
      <c r="P206" s="5">
        <f>IF(D206="Mall",1,0)</f>
        <v>1</v>
      </c>
      <c r="Q206" s="5">
        <f>IF(D206="High Street",1,0)</f>
        <v>0</v>
      </c>
      <c r="R206" s="5">
        <f>IF(D206="Airport",1,0)</f>
        <v>0</v>
      </c>
      <c r="S206" s="2">
        <v>105052.93</v>
      </c>
      <c r="T206" s="2">
        <v>799756.46</v>
      </c>
      <c r="U206" s="12">
        <f>66915.46892
+(1.209928492*E206)
+(27.33619482*F206)
+(-41243.14883*G206)
+(3508.399163*H206)
+(3062.210286*I206)
+(-3438.10791*J206)
+(15157.28728*K206)
+(12509.46131*L206)
+(-15342.70531*M206)
+(-4201.853217*N206)
+(-25291.41891*O206)
+(32832.85351*P206)
+(20219.25907*Q206)
+(44695.0949*R206)</f>
        <v>812050.04951848777</v>
      </c>
      <c r="V206">
        <f>T206-U206</f>
        <v>-12293.589518487803</v>
      </c>
    </row>
    <row r="207" spans="1:22">
      <c r="A207" s="2" t="s">
        <v>95</v>
      </c>
      <c r="B207" s="3">
        <v>45689</v>
      </c>
      <c r="C207" s="2" t="s">
        <v>27</v>
      </c>
      <c r="D207" s="2" t="s">
        <v>18</v>
      </c>
      <c r="E207" s="2">
        <v>40102.879999999997</v>
      </c>
      <c r="F207" s="2">
        <v>2358</v>
      </c>
      <c r="G207" s="2">
        <v>0.11899999999999999</v>
      </c>
      <c r="H207" s="2">
        <v>9</v>
      </c>
      <c r="I207" s="2">
        <v>88.7</v>
      </c>
      <c r="J207" s="2">
        <v>1.6</v>
      </c>
      <c r="K207" s="2">
        <v>0</v>
      </c>
      <c r="L207" s="2">
        <v>4.2</v>
      </c>
      <c r="M207" s="5">
        <f>IF(C207="North",1,0)</f>
        <v>0</v>
      </c>
      <c r="N207" s="5">
        <f>IF(C207="South",1,0)</f>
        <v>0</v>
      </c>
      <c r="O207" s="5">
        <f>IF(C207="East",1,0)</f>
        <v>0</v>
      </c>
      <c r="P207" s="5">
        <f>IF(D207="Mall",1,0)</f>
        <v>0</v>
      </c>
      <c r="Q207" s="5">
        <f>IF(D207="High Street",1,0)</f>
        <v>1</v>
      </c>
      <c r="R207" s="5">
        <f>IF(D207="Airport",1,0)</f>
        <v>0</v>
      </c>
      <c r="S207" s="2">
        <v>55063.39</v>
      </c>
      <c r="T207" s="2">
        <v>533121.26</v>
      </c>
      <c r="U207" s="12">
        <f>66915.46892
+(1.209928492*E207)
+(27.33619482*F207)
+(-41243.14883*G207)
+(3508.399163*H207)
+(3062.210286*I207)
+(-3438.10791*J207)
+(15157.28728*K207)
+(12509.46131*L207)
+(-15342.70531*M207)
+(-4201.853217*N207)
+(-25291.41891*O207)
+(32832.85351*P207)
+(20219.25907*Q207)
+(44695.0949*R207)</f>
        <v>545439.56746924703</v>
      </c>
      <c r="V207">
        <f>T207-U207</f>
        <v>-12318.307469247025</v>
      </c>
    </row>
    <row r="208" spans="1:22">
      <c r="A208" s="2" t="s">
        <v>31</v>
      </c>
      <c r="B208" s="3">
        <v>45717</v>
      </c>
      <c r="C208" s="2" t="s">
        <v>20</v>
      </c>
      <c r="D208" s="2" t="s">
        <v>28</v>
      </c>
      <c r="E208" s="2">
        <v>93381.26</v>
      </c>
      <c r="F208" s="2">
        <v>7562</v>
      </c>
      <c r="G208" s="2">
        <v>0.19800000000000001</v>
      </c>
      <c r="H208" s="2">
        <v>19</v>
      </c>
      <c r="I208" s="2">
        <v>82.9</v>
      </c>
      <c r="J208" s="2">
        <v>5.05</v>
      </c>
      <c r="K208" s="2">
        <v>0</v>
      </c>
      <c r="L208" s="2">
        <v>4</v>
      </c>
      <c r="M208" s="5">
        <f>IF(C208="North",1,0)</f>
        <v>1</v>
      </c>
      <c r="N208" s="5">
        <f>IF(C208="South",1,0)</f>
        <v>0</v>
      </c>
      <c r="O208" s="5">
        <f>IF(C208="East",1,0)</f>
        <v>0</v>
      </c>
      <c r="P208" s="5">
        <f>IF(D208="Mall",1,0)</f>
        <v>1</v>
      </c>
      <c r="Q208" s="5">
        <f>IF(D208="High Street",1,0)</f>
        <v>0</v>
      </c>
      <c r="R208" s="5">
        <f>IF(D208="Airport",1,0)</f>
        <v>0</v>
      </c>
      <c r="S208" s="2">
        <v>115654.66</v>
      </c>
      <c r="T208" s="2">
        <v>736633.4</v>
      </c>
      <c r="U208" s="12">
        <f>66915.46892
+(1.209928492*E208)
+(27.33619482*F208)
+(-41243.14883*G208)
+(3508.399163*H208)
+(3062.210286*I208)
+(-3438.10791*J208)
+(15157.28728*K208)
+(12509.46131*L208)
+(-15342.70531*M208)
+(-4201.853217*N208)
+(-25291.41891*O208)
+(32832.85351*P208)
+(20219.25907*Q208)
+(44695.0949*R208)</f>
        <v>749132.64307426009</v>
      </c>
      <c r="V208">
        <f>T208-U208</f>
        <v>-12499.24307426007</v>
      </c>
    </row>
    <row r="209" spans="1:22">
      <c r="A209" s="2" t="s">
        <v>48</v>
      </c>
      <c r="B209" s="3">
        <v>45689</v>
      </c>
      <c r="C209" s="2" t="s">
        <v>27</v>
      </c>
      <c r="D209" s="2" t="s">
        <v>18</v>
      </c>
      <c r="E209" s="2">
        <v>74679.350000000006</v>
      </c>
      <c r="F209" s="2">
        <v>8739</v>
      </c>
      <c r="G209" s="2">
        <v>5.6000000000000001E-2</v>
      </c>
      <c r="H209" s="2">
        <v>21</v>
      </c>
      <c r="I209" s="2">
        <v>91.8</v>
      </c>
      <c r="J209" s="2">
        <v>2.83</v>
      </c>
      <c r="K209" s="2">
        <v>0</v>
      </c>
      <c r="L209" s="2">
        <v>3</v>
      </c>
      <c r="M209" s="5">
        <f>IF(C209="North",1,0)</f>
        <v>0</v>
      </c>
      <c r="N209" s="5">
        <f>IF(C209="South",1,0)</f>
        <v>0</v>
      </c>
      <c r="O209" s="5">
        <f>IF(C209="East",1,0)</f>
        <v>0</v>
      </c>
      <c r="P209" s="5">
        <f>IF(D209="Mall",1,0)</f>
        <v>0</v>
      </c>
      <c r="Q209" s="5">
        <f>IF(D209="High Street",1,0)</f>
        <v>1</v>
      </c>
      <c r="R209" s="5">
        <f>IF(D209="Airport",1,0)</f>
        <v>0</v>
      </c>
      <c r="S209" s="2">
        <v>157620.70000000001</v>
      </c>
      <c r="T209" s="2">
        <v>783797.89</v>
      </c>
      <c r="U209" s="12">
        <f>66915.46892
+(1.209928492*E209)
+(27.33619482*F209)
+(-41243.14883*G209)
+(3508.399163*H209)
+(3062.210286*I209)
+(-3438.10791*J209)
+(15157.28728*K209)
+(12509.46131*L209)
+(-15342.70531*M209)
+(-4201.853217*N209)
+(-25291.41891*O209)
+(32832.85351*P209)
+(20219.25907*Q209)
+(44695.0949*R209)</f>
        <v>796658.61673904024</v>
      </c>
      <c r="V209">
        <f>T209-U209</f>
        <v>-12860.726739040227</v>
      </c>
    </row>
    <row r="210" spans="1:22">
      <c r="A210" s="2" t="s">
        <v>99</v>
      </c>
      <c r="B210" s="3">
        <v>45658</v>
      </c>
      <c r="C210" s="2" t="s">
        <v>24</v>
      </c>
      <c r="D210" s="2" t="s">
        <v>18</v>
      </c>
      <c r="E210" s="2">
        <v>48465.599999999999</v>
      </c>
      <c r="F210" s="2">
        <v>5759</v>
      </c>
      <c r="G210" s="2">
        <v>0.154</v>
      </c>
      <c r="H210" s="2">
        <v>13</v>
      </c>
      <c r="I210" s="2">
        <v>87.5</v>
      </c>
      <c r="J210" s="2">
        <v>4.1399999999999997</v>
      </c>
      <c r="K210" s="2">
        <v>0</v>
      </c>
      <c r="L210" s="2">
        <v>4</v>
      </c>
      <c r="M210" s="5">
        <f>IF(C210="North",1,0)</f>
        <v>0</v>
      </c>
      <c r="N210" s="5">
        <f>IF(C210="South",1,0)</f>
        <v>1</v>
      </c>
      <c r="O210" s="5">
        <f>IF(C210="East",1,0)</f>
        <v>0</v>
      </c>
      <c r="P210" s="5">
        <f>IF(D210="Mall",1,0)</f>
        <v>0</v>
      </c>
      <c r="Q210" s="5">
        <f>IF(D210="High Street",1,0)</f>
        <v>1</v>
      </c>
      <c r="R210" s="5">
        <f>IF(D210="Airport",1,0)</f>
        <v>0</v>
      </c>
      <c r="S210" s="2">
        <v>112509.15</v>
      </c>
      <c r="T210" s="2">
        <v>628538.30000000005</v>
      </c>
      <c r="U210" s="12">
        <f>66915.46892
+(1.209928492*E210)
+(27.33619482*F210)
+(-41243.14883*G210)
+(3508.399163*H210)
+(3062.210286*I210)
+(-3438.10791*J210)
+(15157.28728*K210)
+(12509.46131*L210)
+(-15342.70531*M210)
+(-4201.853217*N210)
+(-25291.41891*O210)
+(32832.85351*P210)
+(20219.25907*Q210)
+(44695.0949*R210)</f>
        <v>642007.15378003521</v>
      </c>
      <c r="V210">
        <f>T210-U210</f>
        <v>-13468.853780035162</v>
      </c>
    </row>
    <row r="211" spans="1:22">
      <c r="A211" s="2" t="s">
        <v>29</v>
      </c>
      <c r="B211" s="3">
        <v>45748</v>
      </c>
      <c r="C211" s="2" t="s">
        <v>15</v>
      </c>
      <c r="D211" s="2" t="s">
        <v>16</v>
      </c>
      <c r="E211" s="2">
        <v>69816.350000000006</v>
      </c>
      <c r="F211" s="2">
        <v>971</v>
      </c>
      <c r="G211" s="2">
        <v>0.16800000000000001</v>
      </c>
      <c r="H211" s="2">
        <v>5</v>
      </c>
      <c r="I211" s="2">
        <v>89.9</v>
      </c>
      <c r="J211" s="2">
        <v>12.15</v>
      </c>
      <c r="K211" s="2">
        <v>0</v>
      </c>
      <c r="L211" s="2">
        <v>3.6</v>
      </c>
      <c r="M211" s="5">
        <f>IF(C211="North",1,0)</f>
        <v>0</v>
      </c>
      <c r="N211" s="5">
        <f>IF(C211="South",1,0)</f>
        <v>0</v>
      </c>
      <c r="O211" s="5">
        <f>IF(C211="East",1,0)</f>
        <v>1</v>
      </c>
      <c r="P211" s="5">
        <f>IF(D211="Mall",1,0)</f>
        <v>0</v>
      </c>
      <c r="Q211" s="5">
        <f>IF(D211="High Street",1,0)</f>
        <v>0</v>
      </c>
      <c r="R211" s="5">
        <f>IF(D211="Airport",1,0)</f>
        <v>0</v>
      </c>
      <c r="S211" s="2">
        <v>81824.31</v>
      </c>
      <c r="T211" s="2">
        <v>427917.38</v>
      </c>
      <c r="U211" s="12">
        <f>66915.46892
+(1.209928492*E211)
+(27.33619482*F211)
+(-41243.14883*G211)
+(3508.399163*H211)
+(3062.210286*I211)
+(-3438.10791*J211)
+(15157.28728*K211)
+(12509.46131*L211)
+(-15342.70531*M211)
+(-4201.853217*N211)
+(-25291.41891*O211)
+(32832.85351*P211)
+(20219.25907*Q211)
+(44695.0949*R211)</f>
        <v>441807.18738512415</v>
      </c>
      <c r="V211">
        <f>T211-U211</f>
        <v>-13889.80738512415</v>
      </c>
    </row>
    <row r="212" spans="1:22">
      <c r="A212" s="2" t="s">
        <v>51</v>
      </c>
      <c r="B212" s="3">
        <v>45658</v>
      </c>
      <c r="C212" s="2" t="s">
        <v>27</v>
      </c>
      <c r="D212" s="2" t="s">
        <v>16</v>
      </c>
      <c r="E212" s="2">
        <v>43685.14</v>
      </c>
      <c r="F212" s="2">
        <v>7821</v>
      </c>
      <c r="G212" s="2">
        <v>0.19</v>
      </c>
      <c r="H212" s="2">
        <v>17</v>
      </c>
      <c r="I212" s="2">
        <v>91</v>
      </c>
      <c r="J212" s="2">
        <v>2.4900000000000002</v>
      </c>
      <c r="K212" s="2">
        <v>1</v>
      </c>
      <c r="L212" s="2">
        <v>4.7</v>
      </c>
      <c r="M212" s="5">
        <f>IF(C212="North",1,0)</f>
        <v>0</v>
      </c>
      <c r="N212" s="5">
        <f>IF(C212="South",1,0)</f>
        <v>0</v>
      </c>
      <c r="O212" s="5">
        <f>IF(C212="East",1,0)</f>
        <v>0</v>
      </c>
      <c r="P212" s="5">
        <f>IF(D212="Mall",1,0)</f>
        <v>0</v>
      </c>
      <c r="Q212" s="5">
        <f>IF(D212="High Street",1,0)</f>
        <v>0</v>
      </c>
      <c r="R212" s="5">
        <f>IF(D212="Airport",1,0)</f>
        <v>0</v>
      </c>
      <c r="S212" s="2">
        <v>94697.71</v>
      </c>
      <c r="T212" s="2">
        <v>714942.43</v>
      </c>
      <c r="U212" s="12">
        <f>66915.46892
+(1.209928492*E212)
+(27.33619482*F212)
+(-41243.14883*G212)
+(3508.399163*H212)
+(3062.210286*I212)
+(-3438.10791*J212)
+(15157.28728*K212)
+(12509.46131*L212)
+(-15342.70531*M212)
+(-4201.853217*N212)
+(-25291.41891*O212)
+(32832.85351*P212)
+(20219.25907*Q212)
+(44695.0949*R212)</f>
        <v>729426.33443062904</v>
      </c>
      <c r="V212">
        <f>T212-U212</f>
        <v>-14483.904430628987</v>
      </c>
    </row>
    <row r="213" spans="1:22">
      <c r="A213" s="2" t="s">
        <v>82</v>
      </c>
      <c r="B213" s="3">
        <v>45717</v>
      </c>
      <c r="C213" s="2" t="s">
        <v>24</v>
      </c>
      <c r="D213" s="2" t="s">
        <v>21</v>
      </c>
      <c r="E213" s="2">
        <v>70799.64</v>
      </c>
      <c r="F213" s="2">
        <v>10076</v>
      </c>
      <c r="G213" s="2">
        <v>0.152</v>
      </c>
      <c r="H213" s="2">
        <v>24</v>
      </c>
      <c r="I213" s="2">
        <v>84.8</v>
      </c>
      <c r="J213" s="2">
        <v>1.87</v>
      </c>
      <c r="K213" s="2">
        <v>0</v>
      </c>
      <c r="L213" s="2">
        <v>3.5</v>
      </c>
      <c r="M213" s="5">
        <f>IF(C213="North",1,0)</f>
        <v>0</v>
      </c>
      <c r="N213" s="5">
        <f>IF(C213="South",1,0)</f>
        <v>1</v>
      </c>
      <c r="O213" s="5">
        <f>IF(C213="East",1,0)</f>
        <v>0</v>
      </c>
      <c r="P213" s="5">
        <f>IF(D213="Mall",1,0)</f>
        <v>0</v>
      </c>
      <c r="Q213" s="5">
        <f>IF(D213="High Street",1,0)</f>
        <v>0</v>
      </c>
      <c r="R213" s="5">
        <f>IF(D213="Airport",1,0)</f>
        <v>1</v>
      </c>
      <c r="S213" s="2">
        <v>179806.87</v>
      </c>
      <c r="T213" s="2">
        <v>828219.67</v>
      </c>
      <c r="U213" s="12">
        <f>66915.46892
+(1.209928492*E213)
+(27.33619482*F213)
+(-41243.14883*G213)
+(3508.399163*H213)
+(3062.210286*I213)
+(-3438.10791*J213)
+(15157.28728*K213)
+(12509.46131*L213)
+(-15342.70531*M213)
+(-4201.853217*N213)
+(-25291.41891*O213)
+(32832.85351*P213)
+(20219.25907*Q213)
+(44695.0949*R213)</f>
        <v>843472.61760460271</v>
      </c>
      <c r="V213">
        <f>T213-U213</f>
        <v>-15252.947604602668</v>
      </c>
    </row>
    <row r="214" spans="1:22">
      <c r="A214" s="2" t="s">
        <v>58</v>
      </c>
      <c r="B214" s="3">
        <v>45658</v>
      </c>
      <c r="C214" s="2" t="s">
        <v>20</v>
      </c>
      <c r="D214" s="2" t="s">
        <v>16</v>
      </c>
      <c r="E214" s="2">
        <v>70488.2</v>
      </c>
      <c r="F214" s="2">
        <v>4312</v>
      </c>
      <c r="G214" s="2">
        <v>0.16900000000000001</v>
      </c>
      <c r="H214" s="2">
        <v>12</v>
      </c>
      <c r="I214" s="2">
        <v>90.2</v>
      </c>
      <c r="J214" s="2">
        <v>3.71</v>
      </c>
      <c r="K214" s="2">
        <v>0</v>
      </c>
      <c r="L214" s="2">
        <v>3.2</v>
      </c>
      <c r="M214" s="5">
        <f>IF(C214="North",1,0)</f>
        <v>1</v>
      </c>
      <c r="N214" s="5">
        <f>IF(C214="South",1,0)</f>
        <v>0</v>
      </c>
      <c r="O214" s="5">
        <f>IF(C214="East",1,0)</f>
        <v>0</v>
      </c>
      <c r="P214" s="5">
        <f>IF(D214="Mall",1,0)</f>
        <v>0</v>
      </c>
      <c r="Q214" s="5">
        <f>IF(D214="High Street",1,0)</f>
        <v>0</v>
      </c>
      <c r="R214" s="5">
        <f>IF(D214="Airport",1,0)</f>
        <v>0</v>
      </c>
      <c r="S214" s="2">
        <v>93804.27</v>
      </c>
      <c r="T214" s="2">
        <v>577732.56999999995</v>
      </c>
      <c r="U214" s="12">
        <f>66915.46892
+(1.209928492*E214)
+(27.33619482*F214)
+(-41243.14883*G214)
+(3508.399163*H214)
+(3062.210286*I214)
+(-3438.10791*J214)
+(15157.28728*K214)
+(12509.46131*L214)
+(-15342.70531*M214)
+(-4201.853217*N214)
+(-25291.41891*O214)
+(32832.85351*P214)
+(20219.25907*Q214)
+(44695.0949*R214)</f>
        <v>593349.07865046442</v>
      </c>
      <c r="V214">
        <f>T214-U214</f>
        <v>-15616.508650464471</v>
      </c>
    </row>
    <row r="215" spans="1:22">
      <c r="A215" s="2" t="s">
        <v>29</v>
      </c>
      <c r="B215" s="3">
        <v>45717</v>
      </c>
      <c r="C215" s="2" t="s">
        <v>15</v>
      </c>
      <c r="D215" s="2" t="s">
        <v>16</v>
      </c>
      <c r="E215" s="2">
        <v>44970.080000000002</v>
      </c>
      <c r="F215" s="2">
        <v>2471</v>
      </c>
      <c r="G215" s="2">
        <v>0.13600000000000001</v>
      </c>
      <c r="H215" s="2">
        <v>11</v>
      </c>
      <c r="I215" s="2">
        <v>87.6</v>
      </c>
      <c r="J215" s="2">
        <v>3.01</v>
      </c>
      <c r="K215" s="2">
        <v>1</v>
      </c>
      <c r="L215" s="2">
        <v>3.7</v>
      </c>
      <c r="M215" s="5">
        <f>IF(C215="North",1,0)</f>
        <v>0</v>
      </c>
      <c r="N215" s="5">
        <f>IF(C215="South",1,0)</f>
        <v>0</v>
      </c>
      <c r="O215" s="5">
        <f>IF(C215="East",1,0)</f>
        <v>1</v>
      </c>
      <c r="P215" s="5">
        <f>IF(D215="Mall",1,0)</f>
        <v>0</v>
      </c>
      <c r="Q215" s="5">
        <f>IF(D215="High Street",1,0)</f>
        <v>0</v>
      </c>
      <c r="R215" s="5">
        <f>IF(D215="Airport",1,0)</f>
        <v>0</v>
      </c>
      <c r="S215" s="2">
        <v>70982.05</v>
      </c>
      <c r="T215" s="2">
        <v>500173.02</v>
      </c>
      <c r="U215" s="12">
        <f>66915.46892
+(1.209928492*E215)
+(27.33619482*F215)
+(-41243.14883*G215)
+(3508.399163*H215)
+(3062.210286*I215)
+(-3438.10791*J215)
+(15157.28728*K215)
+(12509.46131*L215)
+(-15342.70531*M215)
+(-4201.853217*N215)
+(-25291.41891*O215)
+(32832.85351*P215)
+(20219.25907*Q215)
+(44695.0949*R215)</f>
        <v>515908.90141335933</v>
      </c>
      <c r="V215">
        <f>T215-U215</f>
        <v>-15735.881413359311</v>
      </c>
    </row>
    <row r="216" spans="1:22">
      <c r="A216" s="2" t="s">
        <v>91</v>
      </c>
      <c r="B216" s="3">
        <v>45658</v>
      </c>
      <c r="C216" s="2" t="s">
        <v>24</v>
      </c>
      <c r="D216" s="2" t="s">
        <v>16</v>
      </c>
      <c r="E216" s="2">
        <v>61784.11</v>
      </c>
      <c r="F216" s="2">
        <v>8564</v>
      </c>
      <c r="G216" s="2">
        <v>0.13</v>
      </c>
      <c r="H216" s="2">
        <v>17</v>
      </c>
      <c r="I216" s="2">
        <v>87.4</v>
      </c>
      <c r="J216" s="2">
        <v>18.14</v>
      </c>
      <c r="K216" s="2">
        <v>1</v>
      </c>
      <c r="L216" s="2">
        <v>3.4</v>
      </c>
      <c r="M216" s="5">
        <f>IF(C216="North",1,0)</f>
        <v>0</v>
      </c>
      <c r="N216" s="5">
        <f>IF(C216="South",1,0)</f>
        <v>1</v>
      </c>
      <c r="O216" s="5">
        <f>IF(C216="East",1,0)</f>
        <v>0</v>
      </c>
      <c r="P216" s="5">
        <f>IF(D216="Mall",1,0)</f>
        <v>0</v>
      </c>
      <c r="Q216" s="5">
        <f>IF(D216="High Street",1,0)</f>
        <v>0</v>
      </c>
      <c r="R216" s="5">
        <f>IF(D216="Airport",1,0)</f>
        <v>0</v>
      </c>
      <c r="S216" s="2">
        <v>93899.76</v>
      </c>
      <c r="T216" s="2">
        <v>673076.34</v>
      </c>
      <c r="U216" s="12">
        <f>66915.46892
+(1.209928492*E216)
+(27.33619482*F216)
+(-41243.14883*G216)
+(3508.399163*H216)
+(3062.210286*I216)
+(-3438.10791*J216)
+(15157.28728*K216)
+(12509.46131*L216)
+(-15342.70531*M216)
+(-4201.853217*N216)
+(-25291.41891*O216)
+(32832.85351*P216)
+(20219.25907*Q216)
+(44695.0949*R216)</f>
        <v>688815.67684944218</v>
      </c>
      <c r="V216">
        <f>T216-U216</f>
        <v>-15739.336849442217</v>
      </c>
    </row>
    <row r="217" spans="1:22">
      <c r="A217" s="2" t="s">
        <v>91</v>
      </c>
      <c r="B217" s="3">
        <v>45748</v>
      </c>
      <c r="C217" s="2" t="s">
        <v>24</v>
      </c>
      <c r="D217" s="2" t="s">
        <v>16</v>
      </c>
      <c r="E217" s="2">
        <v>70284.06</v>
      </c>
      <c r="F217" s="2">
        <v>9109</v>
      </c>
      <c r="G217" s="2">
        <v>4.0000000000000001E-3</v>
      </c>
      <c r="H217" s="2">
        <v>23</v>
      </c>
      <c r="I217" s="2">
        <v>87</v>
      </c>
      <c r="J217" s="2">
        <v>3.65</v>
      </c>
      <c r="K217" s="2">
        <v>0</v>
      </c>
      <c r="L217" s="2">
        <v>3.7</v>
      </c>
      <c r="M217" s="5">
        <f>IF(C217="North",1,0)</f>
        <v>0</v>
      </c>
      <c r="N217" s="5">
        <f>IF(C217="South",1,0)</f>
        <v>1</v>
      </c>
      <c r="O217" s="5">
        <f>IF(C217="East",1,0)</f>
        <v>0</v>
      </c>
      <c r="P217" s="5">
        <f>IF(D217="Mall",1,0)</f>
        <v>0</v>
      </c>
      <c r="Q217" s="5">
        <f>IF(D217="High Street",1,0)</f>
        <v>0</v>
      </c>
      <c r="R217" s="5">
        <f>IF(D217="Airport",1,0)</f>
        <v>0</v>
      </c>
      <c r="S217" s="2">
        <v>149802.04</v>
      </c>
      <c r="T217" s="2">
        <v>761122.42</v>
      </c>
      <c r="U217" s="12">
        <f>66915.46892
+(1.209928492*E217)
+(27.33619482*F217)
+(-41243.14883*G217)
+(3508.399163*H217)
+(3062.210286*I217)
+(-3438.10791*J217)
+(15157.28728*K217)
+(12509.46131*L217)
+(-15342.70531*M217)
+(-4201.853217*N217)
+(-25291.41891*O217)
+(32832.85351*P217)
+(20219.25907*Q217)
+(44695.0949*R217)</f>
        <v>777434.11705699749</v>
      </c>
      <c r="V217">
        <f>T217-U217</f>
        <v>-16311.697056997451</v>
      </c>
    </row>
    <row r="218" spans="1:22">
      <c r="A218" s="2" t="s">
        <v>100</v>
      </c>
      <c r="B218" s="3">
        <v>45689</v>
      </c>
      <c r="C218" s="2" t="s">
        <v>20</v>
      </c>
      <c r="D218" s="2" t="s">
        <v>16</v>
      </c>
      <c r="E218" s="2">
        <v>46767.99</v>
      </c>
      <c r="F218" s="2">
        <v>7973</v>
      </c>
      <c r="G218" s="2">
        <v>0.183</v>
      </c>
      <c r="H218" s="2">
        <v>18</v>
      </c>
      <c r="I218" s="2">
        <v>94.8</v>
      </c>
      <c r="J218" s="2">
        <v>4.67</v>
      </c>
      <c r="K218" s="2">
        <v>0</v>
      </c>
      <c r="L218" s="5">
        <v>3.9</v>
      </c>
      <c r="M218" s="5">
        <f>IF(C218="North",1,0)</f>
        <v>1</v>
      </c>
      <c r="N218" s="5">
        <f>IF(C218="South",1,0)</f>
        <v>0</v>
      </c>
      <c r="O218" s="5">
        <f>IF(C218="East",1,0)</f>
        <v>0</v>
      </c>
      <c r="P218" s="5">
        <f>IF(D218="Mall",1,0)</f>
        <v>0</v>
      </c>
      <c r="Q218" s="5">
        <f>IF(D218="High Street",1,0)</f>
        <v>0</v>
      </c>
      <c r="R218" s="5">
        <f>IF(D218="Airport",1,0)</f>
        <v>0</v>
      </c>
      <c r="S218" s="2">
        <v>93588.42</v>
      </c>
      <c r="T218" s="2">
        <v>688368.46</v>
      </c>
      <c r="U218" s="12">
        <f>66915.46892
+(1.209928492*E218)
+(27.33619482*F218)
+(-41243.14883*G218)
+(3508.399163*H218)
+(3062.210286*I218)
+(-3438.10791*J218)
+(15157.28728*K218)
+(12509.46131*L218)
+(-15342.70531*M218)
+(-4201.853217*N218)
+(-25291.41891*O218)
+(32832.85351*P218)
+(20219.25907*Q218)
+(44695.0949*R218)</f>
        <v>704742.32750464103</v>
      </c>
      <c r="V218">
        <f>T218-U218</f>
        <v>-16373.867504641064</v>
      </c>
    </row>
    <row r="219" spans="1:22">
      <c r="A219" s="2" t="s">
        <v>75</v>
      </c>
      <c r="B219" s="3">
        <v>45717</v>
      </c>
      <c r="C219" s="2" t="s">
        <v>27</v>
      </c>
      <c r="D219" s="2" t="s">
        <v>16</v>
      </c>
      <c r="E219" s="2">
        <v>35296.54</v>
      </c>
      <c r="F219" s="2">
        <v>9644</v>
      </c>
      <c r="G219" s="2">
        <v>0</v>
      </c>
      <c r="H219" s="2">
        <v>22</v>
      </c>
      <c r="I219" s="2">
        <v>88</v>
      </c>
      <c r="J219" s="2">
        <v>2.81</v>
      </c>
      <c r="K219" s="2">
        <v>0</v>
      </c>
      <c r="L219" s="2">
        <v>4.7</v>
      </c>
      <c r="M219" s="5">
        <f>IF(C219="North",1,0)</f>
        <v>0</v>
      </c>
      <c r="N219" s="5">
        <f>IF(C219="South",1,0)</f>
        <v>0</v>
      </c>
      <c r="O219" s="5">
        <f>IF(C219="East",1,0)</f>
        <v>0</v>
      </c>
      <c r="P219" s="5">
        <f>IF(D219="Mall",1,0)</f>
        <v>0</v>
      </c>
      <c r="Q219" s="5">
        <f>IF(D219="High Street",1,0)</f>
        <v>0</v>
      </c>
      <c r="R219" s="5">
        <f>IF(D219="Airport",1,0)</f>
        <v>0</v>
      </c>
      <c r="S219" s="2">
        <v>137788.51</v>
      </c>
      <c r="T219" s="2">
        <v>752321.72</v>
      </c>
      <c r="U219" s="12">
        <f>66915.46892
+(1.209928492*E219)
+(27.33619482*F219)
+(-41243.14883*G219)
+(3508.399163*H219)
+(3062.210286*I219)
+(-3438.10791*J219)
+(15157.28728*K219)
+(12509.46131*L219)
+(-15342.70531*M219)
+(-4201.853217*N219)
+(-25291.41891*O219)
+(32832.85351*P219)
+(20219.25907*Q219)
+(44695.0949*R219)</f>
        <v>769044.69286299776</v>
      </c>
      <c r="V219">
        <f>T219-U219</f>
        <v>-16722.972862997791</v>
      </c>
    </row>
    <row r="220" spans="1:22">
      <c r="A220" s="2" t="s">
        <v>63</v>
      </c>
      <c r="B220" s="3">
        <v>45689</v>
      </c>
      <c r="C220" s="2" t="s">
        <v>20</v>
      </c>
      <c r="D220" s="2" t="s">
        <v>28</v>
      </c>
      <c r="E220" s="2">
        <v>35303.300000000003</v>
      </c>
      <c r="F220" s="2">
        <v>8789</v>
      </c>
      <c r="G220" s="2">
        <v>0.123</v>
      </c>
      <c r="H220" s="2">
        <v>22</v>
      </c>
      <c r="I220" s="2">
        <v>86.1</v>
      </c>
      <c r="J220" s="2">
        <v>9.43</v>
      </c>
      <c r="K220" s="2">
        <v>0</v>
      </c>
      <c r="L220" s="2">
        <v>4.2</v>
      </c>
      <c r="M220" s="5">
        <f>IF(C220="North",1,0)</f>
        <v>1</v>
      </c>
      <c r="N220" s="5">
        <f>IF(C220="South",1,0)</f>
        <v>0</v>
      </c>
      <c r="O220" s="5">
        <f>IF(C220="East",1,0)</f>
        <v>0</v>
      </c>
      <c r="P220" s="5">
        <f>IF(D220="Mall",1,0)</f>
        <v>1</v>
      </c>
      <c r="Q220" s="5">
        <f>IF(D220="High Street",1,0)</f>
        <v>0</v>
      </c>
      <c r="R220" s="5">
        <f>IF(D220="Airport",1,0)</f>
        <v>0</v>
      </c>
      <c r="S220" s="2">
        <v>138014.72</v>
      </c>
      <c r="T220" s="2">
        <v>706285.52</v>
      </c>
      <c r="U220" s="12">
        <f>66915.46892
+(1.209928492*E220)
+(27.33619482*F220)
+(-41243.14883*G220)
+(3508.399163*H220)
+(3062.210286*I220)
+(-3438.10791*J220)
+(15157.28728*K220)
+(12509.46131*L220)
+(-15342.70531*M220)
+(-4201.853217*N220)
+(-25291.41891*O220)
+(32832.85351*P220)
+(20219.25907*Q220)
+(44695.0949*R220)</f>
        <v>723264.46173981356</v>
      </c>
      <c r="V220">
        <f>T220-U220</f>
        <v>-16978.941739813541</v>
      </c>
    </row>
    <row r="221" spans="1:22">
      <c r="A221" s="2" t="s">
        <v>14</v>
      </c>
      <c r="B221" s="3">
        <v>45717</v>
      </c>
      <c r="C221" s="2" t="s">
        <v>15</v>
      </c>
      <c r="D221" s="2" t="s">
        <v>16</v>
      </c>
      <c r="E221" s="2">
        <v>59921.75</v>
      </c>
      <c r="F221" s="2">
        <v>9113</v>
      </c>
      <c r="G221" s="2">
        <v>0.13300000000000001</v>
      </c>
      <c r="H221" s="2">
        <v>20</v>
      </c>
      <c r="I221" s="2">
        <v>88</v>
      </c>
      <c r="J221" s="2">
        <v>12</v>
      </c>
      <c r="K221" s="2">
        <v>0</v>
      </c>
      <c r="L221" s="2">
        <v>3.2</v>
      </c>
      <c r="M221" s="5">
        <f>IF(C221="North",1,0)</f>
        <v>0</v>
      </c>
      <c r="N221" s="5">
        <f>IF(C221="South",1,0)</f>
        <v>0</v>
      </c>
      <c r="O221" s="5">
        <f>IF(C221="East",1,0)</f>
        <v>1</v>
      </c>
      <c r="P221" s="5">
        <f>IF(D221="Mall",1,0)</f>
        <v>0</v>
      </c>
      <c r="Q221" s="5">
        <f>IF(D221="High Street",1,0)</f>
        <v>0</v>
      </c>
      <c r="R221" s="5">
        <f>IF(D221="Airport",1,0)</f>
        <v>0</v>
      </c>
      <c r="S221" s="2">
        <v>101883.86</v>
      </c>
      <c r="T221" s="2">
        <v>678722.06</v>
      </c>
      <c r="U221" s="12">
        <f>66915.46892
+(1.209928492*E221)
+(27.33619482*F221)
+(-41243.14883*G221)
+(3508.399163*H221)
+(3062.210286*I221)
+(-3438.10791*J221)
+(15157.28728*K221)
+(12509.46131*L221)
+(-15342.70531*M221)
+(-4201.853217*N221)
+(-25291.41891*O221)
+(32832.85351*P221)
+(20219.25907*Q221)
+(44695.0949*R221)</f>
        <v>696169.95692577108</v>
      </c>
      <c r="V221">
        <f>T221-U221</f>
        <v>-17447.896925771027</v>
      </c>
    </row>
    <row r="222" spans="1:22">
      <c r="A222" s="2" t="s">
        <v>93</v>
      </c>
      <c r="B222" s="3">
        <v>45717</v>
      </c>
      <c r="C222" s="2" t="s">
        <v>27</v>
      </c>
      <c r="D222" s="2" t="s">
        <v>16</v>
      </c>
      <c r="E222" s="2">
        <v>55371.97</v>
      </c>
      <c r="F222" s="2">
        <v>4162</v>
      </c>
      <c r="G222" s="2">
        <v>0.183</v>
      </c>
      <c r="H222" s="2">
        <v>11</v>
      </c>
      <c r="I222" s="2">
        <v>92</v>
      </c>
      <c r="J222" s="2">
        <v>0.2</v>
      </c>
      <c r="K222" s="2">
        <v>1</v>
      </c>
      <c r="L222" s="2">
        <v>4.2</v>
      </c>
      <c r="M222" s="5">
        <f>IF(C222="North",1,0)</f>
        <v>0</v>
      </c>
      <c r="N222" s="5">
        <f>IF(C222="South",1,0)</f>
        <v>0</v>
      </c>
      <c r="O222" s="5">
        <f>IF(C222="East",1,0)</f>
        <v>0</v>
      </c>
      <c r="P222" s="5">
        <f>IF(D222="Mall",1,0)</f>
        <v>0</v>
      </c>
      <c r="Q222" s="5">
        <f>IF(D222="High Street",1,0)</f>
        <v>0</v>
      </c>
      <c r="R222" s="5">
        <f>IF(D222="Airport",1,0)</f>
        <v>0</v>
      </c>
      <c r="S222" s="2">
        <v>126789.25</v>
      </c>
      <c r="T222" s="2">
        <v>609949</v>
      </c>
      <c r="U222" s="12">
        <f>66915.46892
+(1.209928492*E222)
+(27.33619482*F222)
+(-41243.14883*G222)
+(3508.399163*H222)
+(3062.210286*I222)
+(-3438.10791*J222)
+(15157.28728*K222)
+(12509.46131*L222)
+(-15342.70531*M222)
+(-4201.853217*N222)
+(-25291.41891*O222)
+(32832.85351*P222)
+(20219.25907*Q222)
+(44695.0949*R222)</f>
        <v>627462.47999111935</v>
      </c>
      <c r="V222">
        <f>T222-U222</f>
        <v>-17513.479991119355</v>
      </c>
    </row>
    <row r="223" spans="1:22">
      <c r="A223" s="2" t="s">
        <v>53</v>
      </c>
      <c r="B223" s="3">
        <v>45748</v>
      </c>
      <c r="C223" s="2" t="s">
        <v>24</v>
      </c>
      <c r="D223" s="2" t="s">
        <v>18</v>
      </c>
      <c r="E223" s="2">
        <v>37828.5</v>
      </c>
      <c r="F223" s="2">
        <v>8221</v>
      </c>
      <c r="G223" s="2">
        <v>9.6000000000000002E-2</v>
      </c>
      <c r="H223" s="2">
        <v>19</v>
      </c>
      <c r="I223" s="2">
        <v>81.5</v>
      </c>
      <c r="J223" s="2">
        <v>3.19</v>
      </c>
      <c r="K223" s="2">
        <v>0</v>
      </c>
      <c r="L223" s="2">
        <v>4.8</v>
      </c>
      <c r="M223" s="5">
        <f>IF(C223="North",1,0)</f>
        <v>0</v>
      </c>
      <c r="N223" s="5">
        <f>IF(C223="South",1,0)</f>
        <v>1</v>
      </c>
      <c r="O223" s="5">
        <f>IF(C223="East",1,0)</f>
        <v>0</v>
      </c>
      <c r="P223" s="5">
        <f>IF(D223="Mall",1,0)</f>
        <v>0</v>
      </c>
      <c r="Q223" s="5">
        <f>IF(D223="High Street",1,0)</f>
        <v>1</v>
      </c>
      <c r="R223" s="5">
        <f>IF(D223="Airport",1,0)</f>
        <v>0</v>
      </c>
      <c r="S223" s="2">
        <v>136408.54</v>
      </c>
      <c r="T223" s="2">
        <v>697155.3</v>
      </c>
      <c r="U223" s="12">
        <f>66915.46892
+(1.209928492*E223)
+(27.33619482*F223)
+(-41243.14883*G223)
+(3508.399163*H223)
+(3062.210286*I223)
+(-3438.10791*J223)
+(15157.28728*K223)
+(12509.46131*L223)
+(-15342.70531*M223)
+(-4201.853217*N223)
+(-25291.41891*O223)
+(32832.85351*P223)
+(20219.25907*Q223)
+(44695.0949*R223)</f>
        <v>714781.74252126191</v>
      </c>
      <c r="V223">
        <f>T223-U223</f>
        <v>-17626.442521261866</v>
      </c>
    </row>
    <row r="224" spans="1:22">
      <c r="A224" s="2" t="s">
        <v>14</v>
      </c>
      <c r="B224" s="3">
        <v>45658</v>
      </c>
      <c r="C224" s="2" t="s">
        <v>15</v>
      </c>
      <c r="D224" s="2" t="s">
        <v>16</v>
      </c>
      <c r="E224" s="2">
        <v>70389.11</v>
      </c>
      <c r="F224" s="2">
        <v>8302</v>
      </c>
      <c r="G224" s="2">
        <v>4.2000000000000003E-2</v>
      </c>
      <c r="H224" s="2">
        <v>17</v>
      </c>
      <c r="I224" s="2">
        <v>75</v>
      </c>
      <c r="J224" s="2">
        <v>5.28</v>
      </c>
      <c r="K224" s="2">
        <v>1</v>
      </c>
      <c r="L224" s="2">
        <v>3.1</v>
      </c>
      <c r="M224" s="5">
        <f>IF(C224="North",1,0)</f>
        <v>0</v>
      </c>
      <c r="N224" s="5">
        <f>IF(C224="South",1,0)</f>
        <v>0</v>
      </c>
      <c r="O224" s="5">
        <f>IF(C224="East",1,0)</f>
        <v>1</v>
      </c>
      <c r="P224" s="5">
        <f>IF(D224="Mall",1,0)</f>
        <v>0</v>
      </c>
      <c r="Q224" s="5">
        <f>IF(D224="High Street",1,0)</f>
        <v>0</v>
      </c>
      <c r="R224" s="5">
        <f>IF(D224="Airport",1,0)</f>
        <v>0</v>
      </c>
      <c r="S224" s="2">
        <v>84349.93</v>
      </c>
      <c r="T224" s="2">
        <v>658832.62</v>
      </c>
      <c r="U224" s="12">
        <f>66915.46892
+(1.209928492*E224)
+(27.33619482*F224)
+(-41243.14883*G224)
+(3508.399163*H224)
+(3062.210286*I224)
+(-3438.10791*J224)
+(15157.28728*K224)
+(12509.46131*L224)
+(-15342.70531*M224)
+(-4201.853217*N224)
+(-25291.41891*O224)
+(32832.85351*P224)
+(20219.25907*Q224)
+(44695.0949*R224)</f>
        <v>677094.68166750204</v>
      </c>
      <c r="V224">
        <f>T224-U224</f>
        <v>-18262.061667502043</v>
      </c>
    </row>
    <row r="225" spans="1:22">
      <c r="A225" s="2" t="s">
        <v>96</v>
      </c>
      <c r="B225" s="3">
        <v>45717</v>
      </c>
      <c r="C225" s="2" t="s">
        <v>27</v>
      </c>
      <c r="D225" s="2" t="s">
        <v>18</v>
      </c>
      <c r="E225" s="2">
        <v>46174.7</v>
      </c>
      <c r="F225" s="2">
        <v>4898</v>
      </c>
      <c r="G225" s="2">
        <v>0.114</v>
      </c>
      <c r="H225" s="2">
        <v>11</v>
      </c>
      <c r="I225" s="2">
        <v>91.7</v>
      </c>
      <c r="J225" s="2">
        <v>3.75</v>
      </c>
      <c r="K225" s="2">
        <v>0</v>
      </c>
      <c r="L225" s="2">
        <v>3.1</v>
      </c>
      <c r="M225" s="5">
        <f>IF(C225="North",1,0)</f>
        <v>0</v>
      </c>
      <c r="N225" s="5">
        <f>IF(C225="South",1,0)</f>
        <v>0</v>
      </c>
      <c r="O225" s="5">
        <f>IF(C225="East",1,0)</f>
        <v>0</v>
      </c>
      <c r="P225" s="5">
        <f>IF(D225="Mall",1,0)</f>
        <v>0</v>
      </c>
      <c r="Q225" s="5">
        <f>IF(D225="High Street",1,0)</f>
        <v>1</v>
      </c>
      <c r="R225" s="5">
        <f>IF(D225="Airport",1,0)</f>
        <v>0</v>
      </c>
      <c r="S225" s="2">
        <v>134009.92000000001</v>
      </c>
      <c r="T225" s="2">
        <v>599017.32999999996</v>
      </c>
      <c r="U225" s="12">
        <f>66915.46892
+(1.209928492*E225)
+(27.33619482*F225)
+(-41243.14883*G225)
+(3508.399163*H225)
+(3062.210286*I225)
+(-3438.10791*J225)
+(15157.28728*K225)
+(12509.46131*L225)
+(-15342.70531*M225)
+(-4201.853217*N225)
+(-25291.41891*O225)
+(32832.85351*P225)
+(20219.25907*Q225)
+(44695.0949*R225)</f>
        <v>617477.27580899245</v>
      </c>
      <c r="V225">
        <f>T225-U225</f>
        <v>-18459.945808992488</v>
      </c>
    </row>
    <row r="226" spans="1:22">
      <c r="A226" s="2" t="s">
        <v>45</v>
      </c>
      <c r="B226" s="3">
        <v>45658</v>
      </c>
      <c r="C226" s="2" t="s">
        <v>27</v>
      </c>
      <c r="D226" s="2" t="s">
        <v>16</v>
      </c>
      <c r="E226" s="2">
        <v>38966.589999999997</v>
      </c>
      <c r="F226" s="2">
        <v>4509</v>
      </c>
      <c r="G226" s="2">
        <v>0.19400000000000001</v>
      </c>
      <c r="H226" s="2">
        <v>14</v>
      </c>
      <c r="I226" s="2">
        <v>91.1</v>
      </c>
      <c r="J226" s="2">
        <v>2.92</v>
      </c>
      <c r="K226" s="2">
        <v>0</v>
      </c>
      <c r="L226" s="2">
        <v>4.5999999999999996</v>
      </c>
      <c r="M226" s="5">
        <f>IF(C226="North",1,0)</f>
        <v>0</v>
      </c>
      <c r="N226" s="5">
        <f>IF(C226="South",1,0)</f>
        <v>0</v>
      </c>
      <c r="O226" s="5">
        <f>IF(C226="East",1,0)</f>
        <v>0</v>
      </c>
      <c r="P226" s="5">
        <f>IF(D226="Mall",1,0)</f>
        <v>0</v>
      </c>
      <c r="Q226" s="5">
        <f>IF(D226="High Street",1,0)</f>
        <v>0</v>
      </c>
      <c r="R226" s="5">
        <f>IF(D226="Airport",1,0)</f>
        <v>0</v>
      </c>
      <c r="S226" s="2">
        <v>82624.2</v>
      </c>
      <c r="T226" s="2">
        <v>585937.48</v>
      </c>
      <c r="U226" s="12">
        <f>66915.46892
+(1.209928492*E226)
+(27.33619482*F226)
+(-41243.14883*G226)
+(3508.399163*H226)
+(3062.210286*I226)
+(-3438.10791*J226)
+(15157.28728*K226)
+(12509.46131*L226)
+(-15342.70531*M226)
+(-4201.853217*N226)
+(-25291.41891*O226)
+(32832.85351*P226)
+(20219.25907*Q226)
+(44695.0949*R226)</f>
        <v>604909.18023284234</v>
      </c>
      <c r="V226">
        <f>T226-U226</f>
        <v>-18971.700232842355</v>
      </c>
    </row>
    <row r="227" spans="1:22">
      <c r="A227" s="2" t="s">
        <v>39</v>
      </c>
      <c r="B227" s="3">
        <v>45689</v>
      </c>
      <c r="C227" s="2" t="s">
        <v>15</v>
      </c>
      <c r="D227" s="2" t="s">
        <v>18</v>
      </c>
      <c r="E227" s="2">
        <v>36813.449999999997</v>
      </c>
      <c r="F227" s="2">
        <v>2834</v>
      </c>
      <c r="G227" s="2">
        <v>0.191</v>
      </c>
      <c r="H227" s="2">
        <v>11</v>
      </c>
      <c r="I227" s="2">
        <v>81.8</v>
      </c>
      <c r="J227" s="2">
        <v>2.33</v>
      </c>
      <c r="K227" s="2">
        <v>0</v>
      </c>
      <c r="L227" s="2">
        <v>3.3</v>
      </c>
      <c r="M227" s="5">
        <f>IF(C227="North",1,0)</f>
        <v>0</v>
      </c>
      <c r="N227" s="5">
        <f>IF(C227="South",1,0)</f>
        <v>0</v>
      </c>
      <c r="O227" s="5">
        <f>IF(C227="East",1,0)</f>
        <v>1</v>
      </c>
      <c r="P227" s="5">
        <f>IF(D227="Mall",1,0)</f>
        <v>0</v>
      </c>
      <c r="Q227" s="5">
        <f>IF(D227="High Street",1,0)</f>
        <v>1</v>
      </c>
      <c r="R227" s="5">
        <f>IF(D227="Airport",1,0)</f>
        <v>0</v>
      </c>
      <c r="S227" s="2">
        <v>53651.11</v>
      </c>
      <c r="T227" s="2">
        <v>479050.5</v>
      </c>
      <c r="U227" s="12">
        <f>66915.46892
+(1.209928492*E227)
+(27.33619482*F227)
+(-41243.14883*G227)
+(3508.399163*H227)
+(3062.210286*I227)
+(-3438.10791*J227)
+(15157.28728*K227)
+(12509.46131*L227)
+(-15342.70531*M227)
+(-4201.853217*N227)
+(-25291.41891*O227)
+(32832.85351*P227)
+(20219.25907*Q227)
+(44695.0949*R227)</f>
        <v>498329.90889766742</v>
      </c>
      <c r="V227">
        <f>T227-U227</f>
        <v>-19279.408897667425</v>
      </c>
    </row>
    <row r="228" spans="1:22">
      <c r="A228" s="2" t="s">
        <v>68</v>
      </c>
      <c r="B228" s="3">
        <v>45658</v>
      </c>
      <c r="C228" s="2" t="s">
        <v>20</v>
      </c>
      <c r="D228" s="2" t="s">
        <v>18</v>
      </c>
      <c r="E228" s="2">
        <v>71941.62</v>
      </c>
      <c r="F228" s="2">
        <v>6084</v>
      </c>
      <c r="G228" s="2">
        <v>7.1999999999999995E-2</v>
      </c>
      <c r="H228" s="2">
        <v>13</v>
      </c>
      <c r="I228" s="2">
        <v>93.7</v>
      </c>
      <c r="J228" s="2">
        <v>2.34</v>
      </c>
      <c r="K228" s="2">
        <v>0</v>
      </c>
      <c r="L228" s="2">
        <v>4.4000000000000004</v>
      </c>
      <c r="M228" s="5">
        <f>IF(C228="North",1,0)</f>
        <v>1</v>
      </c>
      <c r="N228" s="5">
        <f>IF(C228="South",1,0)</f>
        <v>0</v>
      </c>
      <c r="O228" s="5">
        <f>IF(C228="East",1,0)</f>
        <v>0</v>
      </c>
      <c r="P228" s="5">
        <f>IF(D228="Mall",1,0)</f>
        <v>0</v>
      </c>
      <c r="Q228" s="5">
        <f>IF(D228="High Street",1,0)</f>
        <v>1</v>
      </c>
      <c r="R228" s="5">
        <f>IF(D228="Airport",1,0)</f>
        <v>0</v>
      </c>
      <c r="S228" s="2">
        <v>117645.61</v>
      </c>
      <c r="T228" s="2">
        <v>681855.56</v>
      </c>
      <c r="U228" s="12">
        <f>66915.46892
+(1.209928492*E228)
+(27.33619482*F228)
+(-41243.14883*G228)
+(3508.399163*H228)
+(3062.210286*I228)
+(-3438.10791*J228)
+(15157.28728*K228)
+(12509.46131*L228)
+(-15342.70531*M228)
+(-4201.853217*N228)
+(-25291.41891*O228)
+(32832.85351*P228)
+(20219.25907*Q228)
+(44695.0949*R228)</f>
        <v>701714.89121955703</v>
      </c>
      <c r="V228">
        <f>T228-U228</f>
        <v>-19859.331219556974</v>
      </c>
    </row>
    <row r="229" spans="1:22">
      <c r="A229" s="2" t="s">
        <v>77</v>
      </c>
      <c r="B229" s="3">
        <v>45748</v>
      </c>
      <c r="C229" s="2" t="s">
        <v>15</v>
      </c>
      <c r="D229" s="2" t="s">
        <v>18</v>
      </c>
      <c r="E229" s="2">
        <v>73540.990000000005</v>
      </c>
      <c r="F229" s="2">
        <v>8773</v>
      </c>
      <c r="G229" s="2">
        <v>3.5000000000000003E-2</v>
      </c>
      <c r="H229" s="2">
        <v>21</v>
      </c>
      <c r="I229" s="2">
        <v>84.4</v>
      </c>
      <c r="J229" s="2">
        <v>6.68</v>
      </c>
      <c r="K229" s="2">
        <v>0</v>
      </c>
      <c r="L229" s="2">
        <v>3.6</v>
      </c>
      <c r="M229" s="5">
        <f>IF(C229="North",1,0)</f>
        <v>0</v>
      </c>
      <c r="N229" s="5">
        <f>IF(C229="South",1,0)</f>
        <v>0</v>
      </c>
      <c r="O229" s="5">
        <f>IF(C229="East",1,0)</f>
        <v>1</v>
      </c>
      <c r="P229" s="5">
        <f>IF(D229="Mall",1,0)</f>
        <v>0</v>
      </c>
      <c r="Q229" s="5">
        <f>IF(D229="High Street",1,0)</f>
        <v>1</v>
      </c>
      <c r="R229" s="5">
        <f>IF(D229="Airport",1,0)</f>
        <v>0</v>
      </c>
      <c r="S229" s="2">
        <v>108794.85</v>
      </c>
      <c r="T229" s="2">
        <v>723531.4</v>
      </c>
      <c r="U229" s="12">
        <f>66915.46892
+(1.209928492*E229)
+(27.33619482*F229)
+(-41243.14883*G229)
+(3508.399163*H229)
+(3062.210286*I229)
+(-3438.10791*J229)
+(15157.28728*K229)
+(12509.46131*L229)
+(-15342.70531*M229)
+(-4201.853217*N229)
+(-25291.41891*O229)
+(32832.85351*P229)
+(20219.25907*Q229)
+(44695.0949*R229)</f>
        <v>743394.00559629721</v>
      </c>
      <c r="V229">
        <f>T229-U229</f>
        <v>-19862.605596297188</v>
      </c>
    </row>
    <row r="230" spans="1:22">
      <c r="A230" s="2" t="s">
        <v>60</v>
      </c>
      <c r="B230" s="3">
        <v>45658</v>
      </c>
      <c r="C230" s="2" t="s">
        <v>15</v>
      </c>
      <c r="D230" s="2" t="s">
        <v>18</v>
      </c>
      <c r="E230" s="2">
        <v>75645.23</v>
      </c>
      <c r="F230" s="2">
        <v>9674</v>
      </c>
      <c r="G230" s="2">
        <v>0.23400000000000001</v>
      </c>
      <c r="H230" s="2">
        <v>21</v>
      </c>
      <c r="I230" s="2">
        <v>87.4</v>
      </c>
      <c r="J230" s="2">
        <v>0.2</v>
      </c>
      <c r="K230" s="2">
        <v>0</v>
      </c>
      <c r="L230" s="2">
        <v>4.5</v>
      </c>
      <c r="M230" s="5">
        <f>IF(C230="North",1,0)</f>
        <v>0</v>
      </c>
      <c r="N230" s="5">
        <f>IF(C230="South",1,0)</f>
        <v>0</v>
      </c>
      <c r="O230" s="5">
        <f>IF(C230="East",1,0)</f>
        <v>1</v>
      </c>
      <c r="P230" s="5">
        <f>IF(D230="Mall",1,0)</f>
        <v>0</v>
      </c>
      <c r="Q230" s="5">
        <f>IF(D230="High Street",1,0)</f>
        <v>1</v>
      </c>
      <c r="R230" s="5">
        <f>IF(D230="Airport",1,0)</f>
        <v>0</v>
      </c>
      <c r="S230" s="2">
        <v>110726.44</v>
      </c>
      <c r="T230" s="2">
        <v>785028.25</v>
      </c>
      <c r="U230" s="12">
        <f>66915.46892
+(1.209928492*E230)
+(27.33619482*F230)
+(-41243.14883*G230)
+(3508.399163*H230)
+(3062.210286*I230)
+(-3438.10791*J230)
+(15157.28728*K230)
+(12509.46131*L230)
+(-15342.70531*M230)
+(-4201.853217*N230)
+(-25291.41891*O230)
+(32832.85351*P230)
+(20219.25907*Q230)
+(44695.0949*R230)</f>
        <v>805086.59573575319</v>
      </c>
      <c r="V230">
        <f>T230-U230</f>
        <v>-20058.345735753188</v>
      </c>
    </row>
    <row r="231" spans="1:22">
      <c r="A231" s="2" t="s">
        <v>82</v>
      </c>
      <c r="B231" s="3">
        <v>45748</v>
      </c>
      <c r="C231" s="2" t="s">
        <v>24</v>
      </c>
      <c r="D231" s="2" t="s">
        <v>21</v>
      </c>
      <c r="E231" s="2">
        <v>53546.34</v>
      </c>
      <c r="F231" s="2">
        <v>8004</v>
      </c>
      <c r="G231" s="2">
        <v>0</v>
      </c>
      <c r="H231" s="2">
        <v>21</v>
      </c>
      <c r="I231" s="2">
        <v>95.2</v>
      </c>
      <c r="J231" s="2">
        <v>2.83</v>
      </c>
      <c r="K231" s="2">
        <v>0</v>
      </c>
      <c r="L231" s="2">
        <v>3</v>
      </c>
      <c r="M231" s="5">
        <f>IF(C231="North",1,0)</f>
        <v>0</v>
      </c>
      <c r="N231" s="5">
        <f>IF(C231="South",1,0)</f>
        <v>1</v>
      </c>
      <c r="O231" s="5">
        <f>IF(C231="East",1,0)</f>
        <v>0</v>
      </c>
      <c r="P231" s="5">
        <f>IF(D231="Mall",1,0)</f>
        <v>0</v>
      </c>
      <c r="Q231" s="5">
        <f>IF(D231="High Street",1,0)</f>
        <v>0</v>
      </c>
      <c r="R231" s="5">
        <f>IF(D231="Airport",1,0)</f>
        <v>1</v>
      </c>
      <c r="S231" s="2">
        <v>177104.87</v>
      </c>
      <c r="T231" s="2">
        <v>763159.92</v>
      </c>
      <c r="U231" s="12">
        <f>66915.46892
+(1.209928492*E231)
+(27.33619482*F231)
+(-41243.14883*G231)
+(3508.399163*H231)
+(3062.210286*I231)
+(-3438.10791*J231)
+(15157.28728*K231)
+(12509.46131*L231)
+(-15342.70531*M231)
+(-4201.853217*N231)
+(-25291.41891*O231)
+(32832.85351*P231)
+(20219.25907*Q231)
+(44695.0949*R231)</f>
        <v>783992.19654549938</v>
      </c>
      <c r="V231">
        <f>T231-U231</f>
        <v>-20832.276545499335</v>
      </c>
    </row>
    <row r="232" spans="1:22">
      <c r="A232" s="2" t="s">
        <v>55</v>
      </c>
      <c r="B232" s="3">
        <v>45717</v>
      </c>
      <c r="C232" s="2" t="s">
        <v>20</v>
      </c>
      <c r="D232" s="2" t="s">
        <v>18</v>
      </c>
      <c r="E232" s="2">
        <v>52285.45</v>
      </c>
      <c r="F232" s="2">
        <v>3618</v>
      </c>
      <c r="G232" s="2">
        <v>8.5999999999999993E-2</v>
      </c>
      <c r="H232" s="2">
        <v>11</v>
      </c>
      <c r="I232" s="2">
        <v>95.6</v>
      </c>
      <c r="J232" s="2">
        <v>5.17</v>
      </c>
      <c r="K232" s="2">
        <v>1</v>
      </c>
      <c r="L232" s="2">
        <v>4.4000000000000004</v>
      </c>
      <c r="M232" s="5">
        <f>IF(C232="North",1,0)</f>
        <v>1</v>
      </c>
      <c r="N232" s="5">
        <f>IF(C232="South",1,0)</f>
        <v>0</v>
      </c>
      <c r="O232" s="5">
        <f>IF(C232="East",1,0)</f>
        <v>0</v>
      </c>
      <c r="P232" s="5">
        <f>IF(D232="Mall",1,0)</f>
        <v>0</v>
      </c>
      <c r="Q232" s="5">
        <f>IF(D232="High Street",1,0)</f>
        <v>1</v>
      </c>
      <c r="R232" s="5">
        <f>IF(D232="Airport",1,0)</f>
        <v>0</v>
      </c>
      <c r="S232" s="2">
        <v>81240.289999999994</v>
      </c>
      <c r="T232" s="2">
        <v>593247.25</v>
      </c>
      <c r="U232" s="12">
        <f>66915.46892
+(1.209928492*E232)
+(27.33619482*F232)
+(-41243.14883*G232)
+(3508.399163*H232)
+(3062.210286*I232)
+(-3438.10791*J232)
+(15157.28728*K232)
+(12509.46131*L232)
+(-15342.70531*M232)
+(-4201.853217*N232)
+(-25291.41891*O232)
+(32832.85351*P232)
+(20219.25907*Q232)
+(44695.0949*R232)</f>
        <v>614172.71369532135</v>
      </c>
      <c r="V232">
        <f>T232-U232</f>
        <v>-20925.463695321348</v>
      </c>
    </row>
    <row r="233" spans="1:22">
      <c r="A233" s="2" t="s">
        <v>23</v>
      </c>
      <c r="B233" s="3">
        <v>45748</v>
      </c>
      <c r="C233" s="2" t="s">
        <v>24</v>
      </c>
      <c r="D233" s="2" t="s">
        <v>16</v>
      </c>
      <c r="E233" s="2">
        <v>41441.93</v>
      </c>
      <c r="F233" s="2">
        <v>4865</v>
      </c>
      <c r="G233" s="2">
        <v>0.158</v>
      </c>
      <c r="H233" s="2">
        <v>16</v>
      </c>
      <c r="I233" s="2">
        <v>88.3</v>
      </c>
      <c r="J233" s="2">
        <v>0.5</v>
      </c>
      <c r="K233" s="2">
        <v>0</v>
      </c>
      <c r="L233" s="2">
        <v>4</v>
      </c>
      <c r="M233" s="5">
        <f>IF(C233="North",1,0)</f>
        <v>0</v>
      </c>
      <c r="N233" s="5">
        <f>IF(C233="South",1,0)</f>
        <v>1</v>
      </c>
      <c r="O233" s="5">
        <f>IF(C233="East",1,0)</f>
        <v>0</v>
      </c>
      <c r="P233" s="5">
        <f>IF(D233="Mall",1,0)</f>
        <v>0</v>
      </c>
      <c r="Q233" s="5">
        <f>IF(D233="High Street",1,0)</f>
        <v>0</v>
      </c>
      <c r="R233" s="5">
        <f>IF(D233="Airport",1,0)</f>
        <v>0</v>
      </c>
      <c r="S233" s="2">
        <v>99521.35</v>
      </c>
      <c r="T233" s="2">
        <v>591619.94999999995</v>
      </c>
      <c r="U233" s="12">
        <f>66915.46892
+(1.209928492*E233)
+(27.33619482*F233)
+(-41243.14883*G233)
+(3508.399163*H233)
+(3062.210286*I233)
+(-3438.10791*J233)
+(15157.28728*K233)
+(12509.46131*L233)
+(-15342.70531*M233)
+(-4201.853217*N233)
+(-25291.41891*O233)
+(32832.85351*P233)
+(20219.25907*Q233)
+(44695.0949*R233)</f>
        <v>614175.90400442958</v>
      </c>
      <c r="V233">
        <f>T233-U233</f>
        <v>-22555.95400442963</v>
      </c>
    </row>
    <row r="234" spans="1:22">
      <c r="A234" s="2" t="s">
        <v>31</v>
      </c>
      <c r="B234" s="3">
        <v>45748</v>
      </c>
      <c r="C234" s="2" t="s">
        <v>20</v>
      </c>
      <c r="D234" s="2" t="s">
        <v>28</v>
      </c>
      <c r="E234" s="2">
        <v>65012.19</v>
      </c>
      <c r="F234" s="2">
        <v>9598</v>
      </c>
      <c r="G234" s="2">
        <v>8.5000000000000006E-2</v>
      </c>
      <c r="H234" s="2">
        <v>24</v>
      </c>
      <c r="I234" s="2">
        <v>98.3</v>
      </c>
      <c r="J234" s="2">
        <v>0.89</v>
      </c>
      <c r="K234" s="2">
        <v>0</v>
      </c>
      <c r="L234" s="2">
        <v>3.8</v>
      </c>
      <c r="M234" s="5">
        <f>IF(C234="North",1,0)</f>
        <v>1</v>
      </c>
      <c r="N234" s="5">
        <f>IF(C234="South",1,0)</f>
        <v>0</v>
      </c>
      <c r="O234" s="5">
        <f>IF(C234="East",1,0)</f>
        <v>0</v>
      </c>
      <c r="P234" s="5">
        <f>IF(D234="Mall",1,0)</f>
        <v>1</v>
      </c>
      <c r="Q234" s="5">
        <f>IF(D234="High Street",1,0)</f>
        <v>0</v>
      </c>
      <c r="R234" s="5">
        <f>IF(D234="Airport",1,0)</f>
        <v>0</v>
      </c>
      <c r="S234" s="2">
        <v>167320.51999999999</v>
      </c>
      <c r="T234" s="2">
        <v>828623.85</v>
      </c>
      <c r="U234" s="12">
        <f>66915.46892
+(1.209928492*E234)
+(27.33619482*F234)
+(-41243.14883*G234)
+(3508.399163*H234)
+(3062.210286*I234)
+(-3438.10791*J234)
+(15157.28728*K234)
+(12509.46131*L234)
+(-15342.70531*M234)
+(-4201.853217*N234)
+(-25291.41891*O234)
+(32832.85351*P234)
+(20219.25907*Q234)
+(44695.0949*R234)</f>
        <v>851625.73632402753</v>
      </c>
      <c r="V234">
        <f>T234-U234</f>
        <v>-23001.886324027553</v>
      </c>
    </row>
    <row r="235" spans="1:22">
      <c r="A235" s="2" t="s">
        <v>49</v>
      </c>
      <c r="B235" s="3">
        <v>45717</v>
      </c>
      <c r="C235" s="2" t="s">
        <v>15</v>
      </c>
      <c r="D235" s="2" t="s">
        <v>28</v>
      </c>
      <c r="E235" s="2">
        <v>51056.15</v>
      </c>
      <c r="F235" s="2">
        <v>5686</v>
      </c>
      <c r="G235" s="2">
        <v>8.8999999999999996E-2</v>
      </c>
      <c r="H235" s="2">
        <v>13</v>
      </c>
      <c r="I235" s="2">
        <v>89.9</v>
      </c>
      <c r="J235" s="2">
        <v>1.28</v>
      </c>
      <c r="K235" s="2">
        <v>0</v>
      </c>
      <c r="L235" s="2">
        <v>4.2</v>
      </c>
      <c r="M235" s="5">
        <f>IF(C235="North",1,0)</f>
        <v>0</v>
      </c>
      <c r="N235" s="5">
        <f>IF(C235="South",1,0)</f>
        <v>0</v>
      </c>
      <c r="O235" s="5">
        <f>IF(C235="East",1,0)</f>
        <v>1</v>
      </c>
      <c r="P235" s="5">
        <f>IF(D235="Mall",1,0)</f>
        <v>1</v>
      </c>
      <c r="Q235" s="5">
        <f>IF(D235="High Street",1,0)</f>
        <v>0</v>
      </c>
      <c r="R235" s="5">
        <f>IF(D235="Airport",1,0)</f>
        <v>0</v>
      </c>
      <c r="S235" s="2">
        <v>105739.47</v>
      </c>
      <c r="T235" s="2">
        <v>633494.21</v>
      </c>
      <c r="U235" s="12">
        <f>66915.46892
+(1.209928492*E235)
+(27.33619482*F235)
+(-41243.14883*G235)
+(3508.399163*H235)
+(3062.210286*I235)
+(-3438.10791*J235)
+(15157.28728*K235)
+(12509.46131*L235)
+(-15342.70531*M235)
+(-4201.853217*N235)
+(-25291.41891*O235)
+(32832.85351*P235)
+(20219.25907*Q235)
+(44695.0949*R235)</f>
        <v>657035.01080507599</v>
      </c>
      <c r="V235">
        <f>T235-U235</f>
        <v>-23540.800805076025</v>
      </c>
    </row>
    <row r="236" spans="1:22">
      <c r="A236" s="2" t="s">
        <v>41</v>
      </c>
      <c r="B236" s="3">
        <v>45748</v>
      </c>
      <c r="C236" s="2" t="s">
        <v>24</v>
      </c>
      <c r="D236" s="2" t="s">
        <v>18</v>
      </c>
      <c r="E236" s="2">
        <v>77999.899999999994</v>
      </c>
      <c r="F236" s="2">
        <v>5974</v>
      </c>
      <c r="G236" s="2">
        <v>0.252</v>
      </c>
      <c r="H236" s="2">
        <v>14</v>
      </c>
      <c r="I236" s="2">
        <v>81.3</v>
      </c>
      <c r="J236" s="2">
        <v>2.39</v>
      </c>
      <c r="K236" s="2">
        <v>0</v>
      </c>
      <c r="L236" s="2">
        <v>3.2</v>
      </c>
      <c r="M236" s="5">
        <f>IF(C236="North",1,0)</f>
        <v>0</v>
      </c>
      <c r="N236" s="5">
        <f>IF(C236="South",1,0)</f>
        <v>1</v>
      </c>
      <c r="O236" s="5">
        <f>IF(C236="East",1,0)</f>
        <v>0</v>
      </c>
      <c r="P236" s="5">
        <f>IF(D236="Mall",1,0)</f>
        <v>0</v>
      </c>
      <c r="Q236" s="5">
        <f>IF(D236="High Street",1,0)</f>
        <v>1</v>
      </c>
      <c r="R236" s="5">
        <f>IF(D236="Airport",1,0)</f>
        <v>0</v>
      </c>
      <c r="S236" s="2">
        <v>93861.06</v>
      </c>
      <c r="T236" s="2">
        <v>636561.34</v>
      </c>
      <c r="U236" s="12">
        <f>66915.46892
+(1.209928492*E236)
+(27.33619482*F236)
+(-41243.14883*G236)
+(3508.399163*H236)
+(3062.210286*I236)
+(-3438.10791*J236)
+(15157.28728*K236)
+(12509.46131*L236)
+(-15342.70531*M236)
+(-4201.853217*N236)
+(-25291.41891*O236)
+(32832.85351*P236)
+(20219.25907*Q236)
+(44695.0949*R236)</f>
        <v>660108.81332657079</v>
      </c>
      <c r="V236">
        <f>T236-U236</f>
        <v>-23547.47332657082</v>
      </c>
    </row>
    <row r="237" spans="1:22">
      <c r="A237" s="2" t="s">
        <v>55</v>
      </c>
      <c r="B237" s="3">
        <v>45748</v>
      </c>
      <c r="C237" s="2" t="s">
        <v>20</v>
      </c>
      <c r="D237" s="2" t="s">
        <v>18</v>
      </c>
      <c r="E237" s="2">
        <v>70366.759999999995</v>
      </c>
      <c r="F237" s="2">
        <v>1963</v>
      </c>
      <c r="G237" s="2">
        <v>0.182</v>
      </c>
      <c r="H237" s="2">
        <v>8</v>
      </c>
      <c r="I237" s="2">
        <v>89.8</v>
      </c>
      <c r="J237" s="2">
        <v>3.2</v>
      </c>
      <c r="K237" s="2">
        <v>0</v>
      </c>
      <c r="L237" s="2">
        <v>4.5999999999999996</v>
      </c>
      <c r="M237" s="5">
        <f>IF(C237="North",1,0)</f>
        <v>1</v>
      </c>
      <c r="N237" s="5">
        <f>IF(C237="South",1,0)</f>
        <v>0</v>
      </c>
      <c r="O237" s="5">
        <f>IF(C237="East",1,0)</f>
        <v>0</v>
      </c>
      <c r="P237" s="5">
        <f>IF(D237="Mall",1,0)</f>
        <v>0</v>
      </c>
      <c r="Q237" s="5">
        <f>IF(D237="High Street",1,0)</f>
        <v>1</v>
      </c>
      <c r="R237" s="5">
        <f>IF(D237="Airport",1,0)</f>
        <v>0</v>
      </c>
      <c r="S237" s="2">
        <v>95978.83</v>
      </c>
      <c r="T237" s="2">
        <v>529075.94999999995</v>
      </c>
      <c r="U237" s="12">
        <f>66915.46892
+(1.209928492*E237)
+(27.33619482*F237)
+(-41243.14883*G237)
+(3508.399163*H237)
+(3062.210286*I237)
+(-3438.10791*J237)
+(15157.28728*K237)
+(12509.46131*L237)
+(-15342.70531*M237)
+(-4201.853217*N237)
+(-25291.41891*O237)
+(32832.85351*P237)
+(20219.25907*Q237)
+(44695.0949*R237)</f>
        <v>552680.72153912589</v>
      </c>
      <c r="V237">
        <f>T237-U237</f>
        <v>-23604.771539125941</v>
      </c>
    </row>
    <row r="238" spans="1:22">
      <c r="A238" s="2" t="s">
        <v>40</v>
      </c>
      <c r="B238" s="3">
        <v>45748</v>
      </c>
      <c r="C238" s="2" t="s">
        <v>15</v>
      </c>
      <c r="D238" s="2" t="s">
        <v>16</v>
      </c>
      <c r="E238" s="2">
        <v>58749.63</v>
      </c>
      <c r="F238" s="2">
        <v>8252</v>
      </c>
      <c r="G238" s="2">
        <v>0.20300000000000001</v>
      </c>
      <c r="H238" s="2">
        <v>20</v>
      </c>
      <c r="I238" s="2">
        <v>85.2</v>
      </c>
      <c r="J238" s="2">
        <v>3.61</v>
      </c>
      <c r="K238" s="2">
        <v>0</v>
      </c>
      <c r="L238" s="2">
        <v>4.5</v>
      </c>
      <c r="M238" s="5">
        <f>IF(C238="North",1,0)</f>
        <v>0</v>
      </c>
      <c r="N238" s="5">
        <f>IF(C238="South",1,0)</f>
        <v>0</v>
      </c>
      <c r="O238" s="5">
        <f>IF(C238="East",1,0)</f>
        <v>1</v>
      </c>
      <c r="P238" s="5">
        <f>IF(D238="Mall",1,0)</f>
        <v>0</v>
      </c>
      <c r="Q238" s="5">
        <f>IF(D238="High Street",1,0)</f>
        <v>0</v>
      </c>
      <c r="R238" s="5">
        <f>IF(D238="Airport",1,0)</f>
        <v>0</v>
      </c>
      <c r="S238" s="2">
        <v>68007.679999999993</v>
      </c>
      <c r="T238" s="2">
        <v>680840.36</v>
      </c>
      <c r="U238" s="12">
        <f>66915.46892
+(1.209928492*E238)
+(27.33619482*F238)
+(-41243.14883*G238)
+(3508.399163*H238)
+(3062.210286*I238)
+(-3438.10791*J238)
+(15157.28728*K238)
+(12509.46131*L238)
+(-15342.70531*M238)
+(-4201.853217*N238)
+(-25291.41891*O238)
+(32832.85351*P238)
+(20219.25907*Q238)
+(44695.0949*R238)</f>
        <v>704862.12765070796</v>
      </c>
      <c r="V238">
        <f>T238-U238</f>
        <v>-24021.767650707974</v>
      </c>
    </row>
    <row r="239" spans="1:22">
      <c r="A239" s="2" t="s">
        <v>67</v>
      </c>
      <c r="B239" s="3">
        <v>45717</v>
      </c>
      <c r="C239" s="2" t="s">
        <v>27</v>
      </c>
      <c r="D239" s="2" t="s">
        <v>16</v>
      </c>
      <c r="E239" s="2">
        <v>63010.23</v>
      </c>
      <c r="F239" s="2">
        <v>9812</v>
      </c>
      <c r="G239" s="2">
        <v>0.113</v>
      </c>
      <c r="H239" s="2">
        <v>24</v>
      </c>
      <c r="I239" s="2">
        <v>76.8</v>
      </c>
      <c r="J239" s="2">
        <v>1.02</v>
      </c>
      <c r="K239" s="2">
        <v>1</v>
      </c>
      <c r="L239" s="2">
        <v>3.8</v>
      </c>
      <c r="M239" s="5">
        <f>IF(C239="North",1,0)</f>
        <v>0</v>
      </c>
      <c r="N239" s="5">
        <f>IF(C239="South",1,0)</f>
        <v>0</v>
      </c>
      <c r="O239" s="5">
        <f>IF(C239="East",1,0)</f>
        <v>0</v>
      </c>
      <c r="P239" s="5">
        <f>IF(D239="Mall",1,0)</f>
        <v>0</v>
      </c>
      <c r="Q239" s="5">
        <f>IF(D239="High Street",1,0)</f>
        <v>0</v>
      </c>
      <c r="R239" s="5">
        <f>IF(D239="Airport",1,0)</f>
        <v>0</v>
      </c>
      <c r="S239" s="2">
        <v>113605.93</v>
      </c>
      <c r="T239" s="2">
        <v>761077.08</v>
      </c>
      <c r="U239" s="12">
        <f>66915.46892
+(1.209928492*E239)
+(27.33619482*F239)
+(-41243.14883*G239)
+(3508.399163*H239)
+(3062.210286*I239)
+(-3438.10791*J239)
+(15157.28728*K239)
+(12509.46131*L239)
+(-15342.70531*M239)
+(-4201.853217*N239)
+(-25291.41891*O239)
+(32832.85351*P239)
+(20219.25907*Q239)
+(44695.0949*R239)</f>
        <v>785281.30930712319</v>
      </c>
      <c r="V239">
        <f>T239-U239</f>
        <v>-24204.229307123227</v>
      </c>
    </row>
    <row r="240" spans="1:22">
      <c r="A240" s="2" t="s">
        <v>31</v>
      </c>
      <c r="B240" s="3">
        <v>45689</v>
      </c>
      <c r="C240" s="2" t="s">
        <v>20</v>
      </c>
      <c r="D240" s="2" t="s">
        <v>28</v>
      </c>
      <c r="E240" s="2">
        <v>61245.41</v>
      </c>
      <c r="F240" s="2">
        <v>8156</v>
      </c>
      <c r="G240" s="2">
        <v>0.156</v>
      </c>
      <c r="H240" s="2">
        <v>19</v>
      </c>
      <c r="I240" s="2">
        <v>92.9</v>
      </c>
      <c r="J240" s="2">
        <v>9.0500000000000007</v>
      </c>
      <c r="K240" s="2">
        <v>0</v>
      </c>
      <c r="L240" s="2">
        <v>3.8</v>
      </c>
      <c r="M240" s="5">
        <f>IF(C240="North",1,0)</f>
        <v>1</v>
      </c>
      <c r="N240" s="5">
        <f>IF(C240="South",1,0)</f>
        <v>0</v>
      </c>
      <c r="O240" s="5">
        <f>IF(C240="East",1,0)</f>
        <v>0</v>
      </c>
      <c r="P240" s="5">
        <f>IF(D240="Mall",1,0)</f>
        <v>1</v>
      </c>
      <c r="Q240" s="5">
        <f>IF(D240="High Street",1,0)</f>
        <v>0</v>
      </c>
      <c r="R240" s="5">
        <f>IF(D240="Airport",1,0)</f>
        <v>0</v>
      </c>
      <c r="S240" s="2">
        <v>93247.9</v>
      </c>
      <c r="T240" s="2">
        <v>718330.53</v>
      </c>
      <c r="U240" s="12">
        <f>66915.46892
+(1.209928492*E240)
+(27.33619482*F240)
+(-41243.14883*G240)
+(3508.399163*H240)
+(3062.210286*I240)
+(-3438.10791*J240)
+(15157.28728*K240)
+(12509.46131*L240)
+(-15342.70531*M240)
+(-4201.853217*N240)
+(-25291.41891*O240)
+(32832.85351*P240)
+(20219.25907*Q240)
+(44695.0949*R240)</f>
        <v>742588.25347656186</v>
      </c>
      <c r="V240">
        <f>T240-U240</f>
        <v>-24257.723476561834</v>
      </c>
    </row>
    <row r="241" spans="1:22">
      <c r="A241" s="2" t="s">
        <v>36</v>
      </c>
      <c r="B241" s="3">
        <v>45748</v>
      </c>
      <c r="C241" s="2" t="s">
        <v>15</v>
      </c>
      <c r="D241" s="2" t="s">
        <v>21</v>
      </c>
      <c r="E241" s="2">
        <v>52952.12</v>
      </c>
      <c r="F241" s="2">
        <v>4377</v>
      </c>
      <c r="G241" s="2">
        <v>9.1999999999999998E-2</v>
      </c>
      <c r="H241" s="2">
        <v>14</v>
      </c>
      <c r="I241" s="2">
        <v>88.6</v>
      </c>
      <c r="J241" s="2">
        <v>13.59</v>
      </c>
      <c r="K241" s="2">
        <v>0</v>
      </c>
      <c r="L241" s="2">
        <v>3.1</v>
      </c>
      <c r="M241" s="5">
        <f>IF(C241="North",1,0)</f>
        <v>0</v>
      </c>
      <c r="N241" s="5">
        <f>IF(C241="South",1,0)</f>
        <v>0</v>
      </c>
      <c r="O241" s="5">
        <f>IF(C241="East",1,0)</f>
        <v>1</v>
      </c>
      <c r="P241" s="5">
        <f>IF(D241="Mall",1,0)</f>
        <v>0</v>
      </c>
      <c r="Q241" s="5">
        <f>IF(D241="High Street",1,0)</f>
        <v>0</v>
      </c>
      <c r="R241" s="5">
        <f>IF(D241="Airport",1,0)</f>
        <v>1</v>
      </c>
      <c r="S241" s="2">
        <v>86166.77</v>
      </c>
      <c r="T241" s="2">
        <v>553756.43000000005</v>
      </c>
      <c r="U241" s="12">
        <f>66915.46892
+(1.209928492*E241)
+(27.33619482*F241)
+(-41243.14883*G241)
+(3508.399163*H241)
+(3062.210286*I241)
+(-3438.10791*J241)
+(15157.28728*K241)
+(12509.46131*L241)
+(-15342.70531*M241)
+(-4201.853217*N241)
+(-25291.41891*O241)
+(32832.85351*P241)
+(20219.25907*Q241)
+(44695.0949*R241)</f>
        <v>578728.44183028291</v>
      </c>
      <c r="V241">
        <f>T241-U241</f>
        <v>-24972.011830282863</v>
      </c>
    </row>
    <row r="242" spans="1:22">
      <c r="A242" s="2" t="s">
        <v>26</v>
      </c>
      <c r="B242" s="3">
        <v>45717</v>
      </c>
      <c r="C242" s="2" t="s">
        <v>27</v>
      </c>
      <c r="D242" s="2" t="s">
        <v>28</v>
      </c>
      <c r="E242" s="2">
        <v>55270.52</v>
      </c>
      <c r="F242" s="2">
        <v>9315</v>
      </c>
      <c r="G242" s="2">
        <v>0.16900000000000001</v>
      </c>
      <c r="H242" s="2">
        <v>23</v>
      </c>
      <c r="I242" s="2">
        <v>91.9</v>
      </c>
      <c r="J242" s="2">
        <v>4.9400000000000004</v>
      </c>
      <c r="K242" s="2">
        <v>0</v>
      </c>
      <c r="L242" s="2">
        <v>4</v>
      </c>
      <c r="M242" s="5">
        <f>IF(C242="North",1,0)</f>
        <v>0</v>
      </c>
      <c r="N242" s="5">
        <f>IF(C242="South",1,0)</f>
        <v>0</v>
      </c>
      <c r="O242" s="5">
        <f>IF(C242="East",1,0)</f>
        <v>0</v>
      </c>
      <c r="P242" s="5">
        <f>IF(D242="Mall",1,0)</f>
        <v>1</v>
      </c>
      <c r="Q242" s="5">
        <f>IF(D242="High Street",1,0)</f>
        <v>0</v>
      </c>
      <c r="R242" s="5">
        <f>IF(D242="Airport",1,0)</f>
        <v>0</v>
      </c>
      <c r="S242" s="2">
        <v>112577.14</v>
      </c>
      <c r="T242" s="2">
        <v>783672.82</v>
      </c>
      <c r="U242" s="12">
        <f>66915.46892
+(1.209928492*E242)
+(27.33619482*F242)
+(-41243.14883*G242)
+(3508.399163*H242)
+(3062.210286*I242)
+(-3438.10791*J242)
+(15157.28728*K242)
+(12509.46131*L242)
+(-15342.70531*M242)
+(-4201.853217*N242)
+(-25291.41891*O242)
+(32832.85351*P242)
+(20219.25907*Q242)
+(44695.0949*R242)</f>
        <v>809452.16013868595</v>
      </c>
      <c r="V242">
        <f>T242-U242</f>
        <v>-25779.340138686006</v>
      </c>
    </row>
    <row r="243" spans="1:22">
      <c r="A243" s="2" t="s">
        <v>93</v>
      </c>
      <c r="B243" s="3">
        <v>45748</v>
      </c>
      <c r="C243" s="2" t="s">
        <v>27</v>
      </c>
      <c r="D243" s="2" t="s">
        <v>16</v>
      </c>
      <c r="E243" s="2">
        <v>40928.69</v>
      </c>
      <c r="F243" s="2">
        <v>4094</v>
      </c>
      <c r="G243" s="2">
        <v>0.17399999999999999</v>
      </c>
      <c r="H243" s="2">
        <v>13</v>
      </c>
      <c r="I243" s="2">
        <v>82.4</v>
      </c>
      <c r="J243" s="2">
        <v>1.36</v>
      </c>
      <c r="K243" s="2">
        <v>0</v>
      </c>
      <c r="L243" s="2">
        <v>4.8</v>
      </c>
      <c r="M243" s="5">
        <f>IF(C243="North",1,0)</f>
        <v>0</v>
      </c>
      <c r="N243" s="5">
        <f>IF(C243="South",1,0)</f>
        <v>0</v>
      </c>
      <c r="O243" s="5">
        <f>IF(C243="East",1,0)</f>
        <v>0</v>
      </c>
      <c r="P243" s="5">
        <f>IF(D243="Mall",1,0)</f>
        <v>0</v>
      </c>
      <c r="Q243" s="5">
        <f>IF(D243="High Street",1,0)</f>
        <v>0</v>
      </c>
      <c r="R243" s="5">
        <f>IF(D243="Airport",1,0)</f>
        <v>0</v>
      </c>
      <c r="S243" s="2">
        <v>99905.52</v>
      </c>
      <c r="T243" s="2">
        <v>548103.69999999995</v>
      </c>
      <c r="U243" s="12">
        <f>66915.46892
+(1.209928492*E243)
+(27.33619482*F243)
+(-41243.14883*G243)
+(3508.399163*H243)
+(3062.210286*I243)
+(-3438.10791*J243)
+(15157.28728*K243)
+(12509.46131*L243)
+(-15342.70531*M243)
+(-4201.853217*N243)
+(-25291.41891*O243)
+(32832.85351*P243)
+(20219.25907*Q243)
+(44695.0949*R243)</f>
        <v>574479.23500369547</v>
      </c>
      <c r="V243">
        <f>T243-U243</f>
        <v>-26375.535003695521</v>
      </c>
    </row>
    <row r="244" spans="1:22">
      <c r="A244" s="2" t="s">
        <v>43</v>
      </c>
      <c r="B244" s="3">
        <v>45748</v>
      </c>
      <c r="C244" s="2" t="s">
        <v>27</v>
      </c>
      <c r="D244" s="2" t="s">
        <v>18</v>
      </c>
      <c r="E244" s="2">
        <v>18996.32</v>
      </c>
      <c r="F244" s="2">
        <v>1260</v>
      </c>
      <c r="G244" s="2">
        <v>0.14499999999999999</v>
      </c>
      <c r="H244" s="2">
        <v>9</v>
      </c>
      <c r="I244" s="2">
        <v>86.4</v>
      </c>
      <c r="J244" s="2">
        <v>4.3099999999999996</v>
      </c>
      <c r="K244" s="2">
        <v>0</v>
      </c>
      <c r="L244" s="2">
        <v>4.5999999999999996</v>
      </c>
      <c r="M244" s="5">
        <f>IF(C244="North",1,0)</f>
        <v>0</v>
      </c>
      <c r="N244" s="5">
        <f>IF(C244="South",1,0)</f>
        <v>0</v>
      </c>
      <c r="O244" s="5">
        <f>IF(C244="East",1,0)</f>
        <v>0</v>
      </c>
      <c r="P244" s="5">
        <f>IF(D244="Mall",1,0)</f>
        <v>0</v>
      </c>
      <c r="Q244" s="5">
        <f>IF(D244="High Street",1,0)</f>
        <v>1</v>
      </c>
      <c r="R244" s="5">
        <f>IF(D244="Airport",1,0)</f>
        <v>0</v>
      </c>
      <c r="S244" s="2">
        <v>90043.76</v>
      </c>
      <c r="T244" s="2">
        <v>450711.92</v>
      </c>
      <c r="U244" s="12">
        <f>66915.46892
+(1.209928492*E244)
+(27.33619482*F244)
+(-41243.14883*G244)
+(3508.399163*H244)
+(3062.210286*I244)
+(-3438.10791*J244)
+(15157.28728*K244)
+(12509.46131*L244)
+(-15342.70531*M244)
+(-4201.853217*N244)
+(-25291.41891*O244)
+(32832.85351*P244)
+(20219.25907*Q244)
+(44695.0949*R244)</f>
        <v>477458.10380529938</v>
      </c>
      <c r="V244">
        <f>T244-U244</f>
        <v>-26746.183805299399</v>
      </c>
    </row>
    <row r="245" spans="1:22">
      <c r="A245" s="2" t="s">
        <v>51</v>
      </c>
      <c r="B245" s="3">
        <v>45717</v>
      </c>
      <c r="C245" s="2" t="s">
        <v>27</v>
      </c>
      <c r="D245" s="2" t="s">
        <v>16</v>
      </c>
      <c r="E245" s="2">
        <v>42415.47</v>
      </c>
      <c r="F245" s="2">
        <v>8512</v>
      </c>
      <c r="G245" s="2">
        <v>0.13300000000000001</v>
      </c>
      <c r="H245" s="2">
        <v>18</v>
      </c>
      <c r="I245" s="2">
        <v>96.8</v>
      </c>
      <c r="J245" s="2">
        <v>14.95</v>
      </c>
      <c r="K245" s="2">
        <v>0</v>
      </c>
      <c r="L245" s="2">
        <v>4.5999999999999996</v>
      </c>
      <c r="M245" s="5">
        <f>IF(C245="North",1,0)</f>
        <v>0</v>
      </c>
      <c r="N245" s="5">
        <f>IF(C245="South",1,0)</f>
        <v>0</v>
      </c>
      <c r="O245" s="5">
        <f>IF(C245="East",1,0)</f>
        <v>0</v>
      </c>
      <c r="P245" s="5">
        <f>IF(D245="Mall",1,0)</f>
        <v>0</v>
      </c>
      <c r="Q245" s="5">
        <f>IF(D245="High Street",1,0)</f>
        <v>0</v>
      </c>
      <c r="R245" s="5">
        <f>IF(D245="Airport",1,0)</f>
        <v>0</v>
      </c>
      <c r="S245" s="2">
        <v>136217.19</v>
      </c>
      <c r="T245" s="2">
        <v>684217.32</v>
      </c>
      <c r="U245" s="12">
        <f>66915.46892
+(1.209928492*E245)
+(27.33619482*F245)
+(-41243.14883*G245)
+(3508.399163*H245)
+(3062.210286*I245)
+(-3438.10791*J245)
+(15157.28728*K245)
+(12509.46131*L245)
+(-15342.70531*M245)
+(-4201.853217*N245)
+(-25291.41891*O245)
+(32832.85351*P245)
+(20219.25907*Q245)
+(44695.0949*R245)</f>
        <v>711152.4554783213</v>
      </c>
      <c r="V245">
        <f>T245-U245</f>
        <v>-26935.135478321346</v>
      </c>
    </row>
    <row r="246" spans="1:22">
      <c r="A246" s="2" t="s">
        <v>90</v>
      </c>
      <c r="B246" s="3">
        <v>45717</v>
      </c>
      <c r="C246" s="2" t="s">
        <v>27</v>
      </c>
      <c r="D246" s="2" t="s">
        <v>18</v>
      </c>
      <c r="E246" s="2">
        <v>47648.71</v>
      </c>
      <c r="F246" s="2">
        <v>5767</v>
      </c>
      <c r="G246" s="2">
        <v>0.14099999999999999</v>
      </c>
      <c r="H246" s="2">
        <v>17</v>
      </c>
      <c r="I246" s="2">
        <v>89.8</v>
      </c>
      <c r="J246" s="2">
        <v>1.76</v>
      </c>
      <c r="K246" s="2">
        <v>0</v>
      </c>
      <c r="L246" s="2">
        <v>3.1</v>
      </c>
      <c r="M246" s="5">
        <f>IF(C246="North",1,0)</f>
        <v>0</v>
      </c>
      <c r="N246" s="5">
        <f>IF(C246="South",1,0)</f>
        <v>0</v>
      </c>
      <c r="O246" s="5">
        <f>IF(C246="East",1,0)</f>
        <v>0</v>
      </c>
      <c r="P246" s="5">
        <f>IF(D246="Mall",1,0)</f>
        <v>0</v>
      </c>
      <c r="Q246" s="5">
        <f>IF(D246="High Street",1,0)</f>
        <v>1</v>
      </c>
      <c r="R246" s="5">
        <f>IF(D246="Airport",1,0)</f>
        <v>0</v>
      </c>
      <c r="S246" s="2">
        <v>114740.64</v>
      </c>
      <c r="T246" s="2">
        <v>635837.74</v>
      </c>
      <c r="U246" s="12">
        <f>66915.46892
+(1.209928492*E246)
+(27.33619482*F246)
+(-41243.14883*G246)
+(3508.399163*H246)
+(3062.210286*I246)
+(-3438.10791*J246)
+(15157.28728*K246)
+(12509.46131*L246)
+(-15342.70531*M246)
+(-4201.853217*N246)
+(-25291.41891*O246)
+(32832.85351*P246)
+(20219.25907*Q246)
+(44695.0949*R246)</f>
        <v>663976.34096115513</v>
      </c>
      <c r="V246">
        <f>T246-U246</f>
        <v>-28138.600961155142</v>
      </c>
    </row>
    <row r="247" spans="1:22">
      <c r="A247" s="2" t="s">
        <v>79</v>
      </c>
      <c r="B247" s="3">
        <v>45717</v>
      </c>
      <c r="C247" s="2" t="s">
        <v>15</v>
      </c>
      <c r="D247" s="2" t="s">
        <v>18</v>
      </c>
      <c r="E247" s="2">
        <v>33173.949999999997</v>
      </c>
      <c r="F247" s="2">
        <v>6545</v>
      </c>
      <c r="G247" s="2">
        <v>0.16900000000000001</v>
      </c>
      <c r="H247" s="2">
        <v>15</v>
      </c>
      <c r="I247" s="2">
        <v>84.4</v>
      </c>
      <c r="J247" s="2">
        <v>2.48</v>
      </c>
      <c r="K247" s="2">
        <v>0</v>
      </c>
      <c r="L247" s="2">
        <v>3.9</v>
      </c>
      <c r="M247" s="5">
        <f>IF(C247="North",1,0)</f>
        <v>0</v>
      </c>
      <c r="N247" s="5">
        <f>IF(C247="South",1,0)</f>
        <v>0</v>
      </c>
      <c r="O247" s="5">
        <f>IF(C247="East",1,0)</f>
        <v>1</v>
      </c>
      <c r="P247" s="5">
        <f>IF(D247="Mall",1,0)</f>
        <v>0</v>
      </c>
      <c r="Q247" s="5">
        <f>IF(D247="High Street",1,0)</f>
        <v>1</v>
      </c>
      <c r="R247" s="5">
        <f>IF(D247="Airport",1,0)</f>
        <v>0</v>
      </c>
      <c r="S247" s="2">
        <v>105669.51</v>
      </c>
      <c r="T247" s="2">
        <v>596969.27</v>
      </c>
      <c r="U247" s="12">
        <f>66915.46892
+(1.209928492*E247)
+(27.33619482*F247)
+(-41243.14883*G247)
+(3508.399163*H247)
+(3062.210286*I247)
+(-3438.10791*J247)
+(15157.28728*K247)
+(12509.46131*L247)
+(-15342.70531*M247)
+(-4201.853217*N247)
+(-25291.41891*O247)
+(32832.85351*P247)
+(20219.25907*Q247)
+(44695.0949*R247)</f>
        <v>625263.64639741334</v>
      </c>
      <c r="V247">
        <f>T247-U247</f>
        <v>-28294.376397413318</v>
      </c>
    </row>
    <row r="248" spans="1:22">
      <c r="A248" s="2" t="s">
        <v>61</v>
      </c>
      <c r="B248" s="3">
        <v>45658</v>
      </c>
      <c r="C248" s="2" t="s">
        <v>20</v>
      </c>
      <c r="D248" s="2" t="s">
        <v>28</v>
      </c>
      <c r="E248" s="2">
        <v>86883.31</v>
      </c>
      <c r="F248" s="2">
        <v>6424</v>
      </c>
      <c r="G248" s="2">
        <v>5.7000000000000002E-2</v>
      </c>
      <c r="H248" s="2">
        <v>19</v>
      </c>
      <c r="I248" s="2">
        <v>85.2</v>
      </c>
      <c r="J248" s="2">
        <v>3.08</v>
      </c>
      <c r="K248" s="2">
        <v>0</v>
      </c>
      <c r="L248" s="2">
        <v>3.9</v>
      </c>
      <c r="M248" s="5">
        <f>IF(C248="North",1,0)</f>
        <v>1</v>
      </c>
      <c r="N248" s="5">
        <f>IF(C248="South",1,0)</f>
        <v>0</v>
      </c>
      <c r="O248" s="5">
        <f>IF(C248="East",1,0)</f>
        <v>0</v>
      </c>
      <c r="P248" s="5">
        <f>IF(D248="Mall",1,0)</f>
        <v>1</v>
      </c>
      <c r="Q248" s="5">
        <f>IF(D248="High Street",1,0)</f>
        <v>0</v>
      </c>
      <c r="R248" s="5">
        <f>IF(D248="Airport",1,0)</f>
        <v>0</v>
      </c>
      <c r="S248" s="2">
        <v>123707.58</v>
      </c>
      <c r="T248" s="2">
        <v>700078.32</v>
      </c>
      <c r="U248" s="12">
        <f>66915.46892
+(1.209928492*E248)
+(27.33619482*F248)
+(-41243.14883*G248)
+(3508.399163*H248)
+(3062.210286*I248)
+(-3438.10791*J248)
+(15157.28728*K248)
+(12509.46131*L248)
+(-15342.70531*M248)
+(-4201.853217*N248)
+(-25291.41891*O248)
+(32832.85351*P248)
+(20219.25907*Q248)
+(44695.0949*R248)</f>
        <v>728542.49261903856</v>
      </c>
      <c r="V248">
        <f>T248-U248</f>
        <v>-28464.172619038611</v>
      </c>
    </row>
    <row r="249" spans="1:22">
      <c r="A249" s="2" t="s">
        <v>36</v>
      </c>
      <c r="B249" s="3">
        <v>45689</v>
      </c>
      <c r="C249" s="2" t="s">
        <v>15</v>
      </c>
      <c r="D249" s="2" t="s">
        <v>21</v>
      </c>
      <c r="E249" s="2">
        <v>59405.68</v>
      </c>
      <c r="F249" s="2">
        <v>2515</v>
      </c>
      <c r="G249" s="2">
        <v>3.9E-2</v>
      </c>
      <c r="H249" s="2">
        <v>12</v>
      </c>
      <c r="I249" s="2">
        <v>76</v>
      </c>
      <c r="J249" s="2">
        <v>5.1100000000000003</v>
      </c>
      <c r="K249" s="2">
        <v>0</v>
      </c>
      <c r="L249" s="2">
        <v>3.7</v>
      </c>
      <c r="M249" s="5">
        <f>IF(C249="North",1,0)</f>
        <v>0</v>
      </c>
      <c r="N249" s="5">
        <f>IF(C249="South",1,0)</f>
        <v>0</v>
      </c>
      <c r="O249" s="5">
        <f>IF(C249="East",1,0)</f>
        <v>1</v>
      </c>
      <c r="P249" s="5">
        <f>IF(D249="Mall",1,0)</f>
        <v>0</v>
      </c>
      <c r="Q249" s="5">
        <f>IF(D249="High Street",1,0)</f>
        <v>0</v>
      </c>
      <c r="R249" s="5">
        <f>IF(D249="Airport",1,0)</f>
        <v>1</v>
      </c>
      <c r="S249" s="2">
        <v>73461.320000000007</v>
      </c>
      <c r="T249" s="2">
        <v>500298.48</v>
      </c>
      <c r="U249" s="12">
        <f>66915.46892
+(1.209928492*E249)
+(27.33619482*F249)
+(-41243.14883*G249)
+(3508.399163*H249)
+(3062.210286*I249)
+(-3438.10791*J249)
+(15157.28728*K249)
+(12509.46131*L249)
+(-15342.70531*M249)
+(-4201.853217*N249)
+(-25291.41891*O249)
+(32832.85351*P249)
+(20219.25907*Q249)
+(44695.0949*R249)</f>
        <v>528882.86401546444</v>
      </c>
      <c r="V249">
        <f>T249-U249</f>
        <v>-28584.384015464457</v>
      </c>
    </row>
    <row r="250" spans="1:22">
      <c r="A250" s="2" t="s">
        <v>94</v>
      </c>
      <c r="B250" s="3">
        <v>45689</v>
      </c>
      <c r="C250" s="2" t="s">
        <v>15</v>
      </c>
      <c r="D250" s="2" t="s">
        <v>16</v>
      </c>
      <c r="E250" s="2">
        <v>68909.259999999995</v>
      </c>
      <c r="F250" s="2">
        <v>7794</v>
      </c>
      <c r="G250" s="2">
        <v>0.28399999999999997</v>
      </c>
      <c r="H250" s="2">
        <v>22</v>
      </c>
      <c r="I250" s="2">
        <v>89</v>
      </c>
      <c r="J250" s="2">
        <v>0.33</v>
      </c>
      <c r="K250" s="2">
        <v>0</v>
      </c>
      <c r="L250" s="2">
        <v>4</v>
      </c>
      <c r="M250" s="5">
        <f>IF(C250="North",1,0)</f>
        <v>0</v>
      </c>
      <c r="N250" s="5">
        <f>IF(C250="South",1,0)</f>
        <v>0</v>
      </c>
      <c r="O250" s="5">
        <f>IF(C250="East",1,0)</f>
        <v>1</v>
      </c>
      <c r="P250" s="5">
        <f>IF(D250="Mall",1,0)</f>
        <v>0</v>
      </c>
      <c r="Q250" s="5">
        <f>IF(D250="High Street",1,0)</f>
        <v>0</v>
      </c>
      <c r="R250" s="5">
        <f>IF(D250="Airport",1,0)</f>
        <v>0</v>
      </c>
      <c r="S250" s="2">
        <v>72455.350000000006</v>
      </c>
      <c r="T250" s="2">
        <v>696261.49</v>
      </c>
      <c r="U250" s="12">
        <f>66915.46892
+(1.209928492*E250)
+(27.33619482*F250)
+(-41243.14883*G250)
+(3508.399163*H250)
+(3062.210286*I250)
+(-3438.10791*J250)
+(15157.28728*K250)
+(12509.46131*L250)
+(-15342.70531*M250)
+(-4201.853217*N250)
+(-25291.41891*O250)
+(32832.85351*P250)
+(20219.25907*Q250)
+(44695.0949*R250)</f>
        <v>724969.34187569609</v>
      </c>
      <c r="V250">
        <f>T250-U250</f>
        <v>-28707.851875696098</v>
      </c>
    </row>
    <row r="251" spans="1:22">
      <c r="A251" s="2" t="s">
        <v>19</v>
      </c>
      <c r="B251" s="3">
        <v>45689</v>
      </c>
      <c r="C251" s="2" t="s">
        <v>20</v>
      </c>
      <c r="D251" s="2" t="s">
        <v>21</v>
      </c>
      <c r="E251" s="2">
        <v>68133.440000000002</v>
      </c>
      <c r="F251" s="2">
        <v>9459</v>
      </c>
      <c r="G251" s="2">
        <v>0.22</v>
      </c>
      <c r="H251" s="2">
        <v>21</v>
      </c>
      <c r="I251" s="2">
        <v>85</v>
      </c>
      <c r="J251" s="2">
        <v>1.91</v>
      </c>
      <c r="K251" s="2">
        <v>0</v>
      </c>
      <c r="L251" s="2">
        <v>4.2</v>
      </c>
      <c r="M251" s="5">
        <f>IF(C251="North",1,0)</f>
        <v>1</v>
      </c>
      <c r="N251" s="5">
        <f>IF(C251="South",1,0)</f>
        <v>0</v>
      </c>
      <c r="O251" s="5">
        <f>IF(C251="East",1,0)</f>
        <v>0</v>
      </c>
      <c r="P251" s="5">
        <f>IF(D251="Mall",1,0)</f>
        <v>0</v>
      </c>
      <c r="Q251" s="5">
        <f>IF(D251="High Street",1,0)</f>
        <v>0</v>
      </c>
      <c r="R251" s="5">
        <f>IF(D251="Airport",1,0)</f>
        <v>1</v>
      </c>
      <c r="S251" s="2">
        <v>106328.09</v>
      </c>
      <c r="T251" s="2">
        <v>779010.94</v>
      </c>
      <c r="U251" s="12">
        <f>66915.46892
+(1.209928492*E251)
+(27.33619482*F251)
+(-41243.14883*G251)
+(3508.399163*H251)
+(3062.210286*I251)
+(-3438.10791*J251)
+(15157.28728*K251)
+(12509.46131*L251)
+(-15342.70531*M251)
+(-4201.853217*N251)
+(-25291.41891*O251)
+(32832.85351*P251)
+(20219.25907*Q251)
+(44695.0949*R251)</f>
        <v>808141.23101065261</v>
      </c>
      <c r="V251">
        <f>T251-U251</f>
        <v>-29130.291010652669</v>
      </c>
    </row>
    <row r="252" spans="1:22">
      <c r="A252" s="2" t="s">
        <v>97</v>
      </c>
      <c r="B252" s="3">
        <v>45717</v>
      </c>
      <c r="C252" s="2" t="s">
        <v>20</v>
      </c>
      <c r="D252" s="2" t="s">
        <v>28</v>
      </c>
      <c r="E252" s="2">
        <v>52843.75</v>
      </c>
      <c r="F252" s="2">
        <v>8268</v>
      </c>
      <c r="G252" s="2">
        <v>0.13800000000000001</v>
      </c>
      <c r="H252" s="2">
        <v>19</v>
      </c>
      <c r="I252" s="2">
        <v>87.3</v>
      </c>
      <c r="J252" s="2">
        <v>4.3899999999999997</v>
      </c>
      <c r="K252" s="2">
        <v>1</v>
      </c>
      <c r="L252" s="2">
        <v>4.7</v>
      </c>
      <c r="M252" s="5">
        <f>IF(C252="North",1,0)</f>
        <v>1</v>
      </c>
      <c r="N252" s="5">
        <f>IF(C252="South",1,0)</f>
        <v>0</v>
      </c>
      <c r="O252" s="5">
        <f>IF(C252="East",1,0)</f>
        <v>0</v>
      </c>
      <c r="P252" s="5">
        <f>IF(D252="Mall",1,0)</f>
        <v>1</v>
      </c>
      <c r="Q252" s="5">
        <f>IF(D252="High Street",1,0)</f>
        <v>0</v>
      </c>
      <c r="R252" s="5">
        <f>IF(D252="Airport",1,0)</f>
        <v>0</v>
      </c>
      <c r="S252" s="2">
        <v>105502.56</v>
      </c>
      <c r="T252" s="2">
        <v>730890.01</v>
      </c>
      <c r="U252" s="12">
        <f>66915.46892
+(1.209928492*E252)
+(27.33619482*F252)
+(-41243.14883*G252)
+(3508.399163*H252)
+(3062.210286*I252)
+(-3438.10791*J252)
+(15157.28728*K252)
+(12509.46131*L252)
+(-15342.70531*M252)
+(-4201.853217*N252)
+(-25291.41891*O252)
+(32832.85351*P252)
+(20219.25907*Q252)
+(44695.0949*R252)</f>
        <v>761515.88387924514</v>
      </c>
      <c r="V252">
        <f>T252-U252</f>
        <v>-30625.873879245133</v>
      </c>
    </row>
    <row r="253" spans="1:22">
      <c r="A253" s="2" t="s">
        <v>19</v>
      </c>
      <c r="B253" s="3">
        <v>45717</v>
      </c>
      <c r="C253" s="2" t="s">
        <v>20</v>
      </c>
      <c r="D253" s="2" t="s">
        <v>21</v>
      </c>
      <c r="E253" s="2">
        <v>34285.21</v>
      </c>
      <c r="F253" s="2">
        <v>9172</v>
      </c>
      <c r="G253" s="2">
        <v>0.21299999999999999</v>
      </c>
      <c r="H253" s="2">
        <v>22</v>
      </c>
      <c r="I253" s="2">
        <v>88.3</v>
      </c>
      <c r="J253" s="2">
        <v>10.46</v>
      </c>
      <c r="K253" s="2">
        <v>1</v>
      </c>
      <c r="L253" s="2">
        <v>3.8</v>
      </c>
      <c r="M253" s="5">
        <f>IF(C253="North",1,0)</f>
        <v>1</v>
      </c>
      <c r="N253" s="5">
        <f>IF(C253="South",1,0)</f>
        <v>0</v>
      </c>
      <c r="O253" s="5">
        <f>IF(C253="East",1,0)</f>
        <v>0</v>
      </c>
      <c r="P253" s="5">
        <f>IF(D253="Mall",1,0)</f>
        <v>0</v>
      </c>
      <c r="Q253" s="5">
        <f>IF(D253="High Street",1,0)</f>
        <v>0</v>
      </c>
      <c r="R253" s="5">
        <f>IF(D253="Airport",1,0)</f>
        <v>1</v>
      </c>
      <c r="S253" s="2">
        <v>123131.24</v>
      </c>
      <c r="T253" s="2">
        <v>723060.76</v>
      </c>
      <c r="U253" s="12">
        <f>66915.46892
+(1.209928492*E253)
+(27.33619482*F253)
+(-41243.14883*G253)
+(3508.399163*H253)
+(3062.210286*I253)
+(-3438.10791*J253)
+(15157.28728*K253)
+(12509.46131*L253)
+(-15342.70531*M253)
+(-4201.853217*N253)
+(-25291.41891*O253)
+(32832.85351*P253)
+(20219.25907*Q253)
+(44695.0949*R253)</f>
        <v>754001.88049065345</v>
      </c>
      <c r="V253">
        <f>T253-U253</f>
        <v>-30941.12049065344</v>
      </c>
    </row>
    <row r="254" spans="1:22">
      <c r="A254" s="2" t="s">
        <v>43</v>
      </c>
      <c r="B254" s="3">
        <v>45689</v>
      </c>
      <c r="C254" s="2" t="s">
        <v>27</v>
      </c>
      <c r="D254" s="2" t="s">
        <v>18</v>
      </c>
      <c r="E254" s="2">
        <v>88443.77</v>
      </c>
      <c r="F254" s="2">
        <v>4004</v>
      </c>
      <c r="G254" s="2">
        <v>0.20599999999999999</v>
      </c>
      <c r="H254" s="2">
        <v>11</v>
      </c>
      <c r="I254" s="2">
        <v>91.9</v>
      </c>
      <c r="J254" s="2">
        <v>5.95</v>
      </c>
      <c r="K254" s="2">
        <v>0</v>
      </c>
      <c r="L254" s="5">
        <v>3.9</v>
      </c>
      <c r="M254" s="5">
        <f>IF(C254="North",1,0)</f>
        <v>0</v>
      </c>
      <c r="N254" s="5">
        <f>IF(C254="South",1,0)</f>
        <v>0</v>
      </c>
      <c r="O254" s="5">
        <f>IF(C254="East",1,0)</f>
        <v>0</v>
      </c>
      <c r="P254" s="5">
        <f>IF(D254="Mall",1,0)</f>
        <v>0</v>
      </c>
      <c r="Q254" s="5">
        <f>IF(D254="High Street",1,0)</f>
        <v>1</v>
      </c>
      <c r="R254" s="5">
        <f>IF(D254="Airport",1,0)</f>
        <v>0</v>
      </c>
      <c r="S254" s="2">
        <v>88275.61</v>
      </c>
      <c r="T254" s="2">
        <v>611766.72</v>
      </c>
      <c r="U254" s="12">
        <f>66915.46892
+(1.209928492*E254)
+(27.33619482*F254)
+(-41243.14883*G254)
+(3508.399163*H254)
+(3062.210286*I254)
+(-3438.10791*J254)
+(15157.28728*K254)
+(12509.46131*L254)
+(-15342.70531*M254)
+(-4201.853217*N254)
+(-25291.41891*O254)
+(32832.85351*P254)
+(20219.25907*Q254)
+(44695.0949*R254)</f>
        <v>643443.07377409493</v>
      </c>
      <c r="V254">
        <f>T254-U254</f>
        <v>-31676.353774094954</v>
      </c>
    </row>
    <row r="255" spans="1:22">
      <c r="A255" s="2" t="s">
        <v>23</v>
      </c>
      <c r="B255" s="3">
        <v>45717</v>
      </c>
      <c r="C255" s="2" t="s">
        <v>24</v>
      </c>
      <c r="D255" s="2" t="s">
        <v>16</v>
      </c>
      <c r="E255" s="2">
        <v>78831.12</v>
      </c>
      <c r="F255" s="2">
        <v>5538</v>
      </c>
      <c r="G255" s="2">
        <v>0</v>
      </c>
      <c r="H255" s="2">
        <v>15</v>
      </c>
      <c r="I255" s="2">
        <v>94.1</v>
      </c>
      <c r="J255" s="2">
        <v>0.2</v>
      </c>
      <c r="K255" s="2">
        <v>0</v>
      </c>
      <c r="L255" s="2">
        <v>3.9</v>
      </c>
      <c r="M255" s="5">
        <f>IF(C255="North",1,0)</f>
        <v>0</v>
      </c>
      <c r="N255" s="5">
        <f>IF(C255="South",1,0)</f>
        <v>1</v>
      </c>
      <c r="O255" s="5">
        <f>IF(C255="East",1,0)</f>
        <v>0</v>
      </c>
      <c r="P255" s="5">
        <f>IF(D255="Mall",1,0)</f>
        <v>0</v>
      </c>
      <c r="Q255" s="5">
        <f>IF(D255="High Street",1,0)</f>
        <v>0</v>
      </c>
      <c r="R255" s="5">
        <f>IF(D255="Airport",1,0)</f>
        <v>0</v>
      </c>
      <c r="S255" s="2">
        <v>140641.01999999999</v>
      </c>
      <c r="T255" s="2">
        <v>666573.19999999995</v>
      </c>
      <c r="U255" s="12">
        <f>66915.46892
+(1.209928492*E255)
+(27.33619482*F255)
+(-41243.14883*G255)
+(3508.399163*H255)
+(3062.210286*I255)
+(-3438.10791*J255)
+(15157.28728*K255)
+(12509.46131*L255)
+(-15342.70531*M255)
+(-4201.853217*N255)
+(-25291.41891*O255)
+(32832.85351*P255)
+(20219.25907*Q255)
+(44695.0949*R255)</f>
        <v>698360.733645031</v>
      </c>
      <c r="V255">
        <f>T255-U255</f>
        <v>-31787.533645031042</v>
      </c>
    </row>
    <row r="256" spans="1:22">
      <c r="A256" s="2" t="s">
        <v>52</v>
      </c>
      <c r="B256" s="3">
        <v>45748</v>
      </c>
      <c r="C256" s="2" t="s">
        <v>20</v>
      </c>
      <c r="D256" s="2" t="s">
        <v>18</v>
      </c>
      <c r="E256" s="2">
        <v>19063.48</v>
      </c>
      <c r="F256" s="2">
        <v>1906</v>
      </c>
      <c r="G256" s="2">
        <v>0.216</v>
      </c>
      <c r="H256" s="2">
        <v>10</v>
      </c>
      <c r="I256" s="2">
        <v>97.8</v>
      </c>
      <c r="J256" s="2">
        <v>15.79</v>
      </c>
      <c r="K256" s="2">
        <v>0</v>
      </c>
      <c r="L256" s="2">
        <v>4.4000000000000004</v>
      </c>
      <c r="M256" s="5">
        <f>IF(C256="North",1,0)</f>
        <v>1</v>
      </c>
      <c r="N256" s="5">
        <f>IF(C256="South",1,0)</f>
        <v>0</v>
      </c>
      <c r="O256" s="5">
        <f>IF(C256="East",1,0)</f>
        <v>0</v>
      </c>
      <c r="P256" s="5">
        <f>IF(D256="Mall",1,0)</f>
        <v>0</v>
      </c>
      <c r="Q256" s="5">
        <f>IF(D256="High Street",1,0)</f>
        <v>1</v>
      </c>
      <c r="R256" s="5">
        <f>IF(D256="Airport",1,0)</f>
        <v>0</v>
      </c>
      <c r="S256" s="2">
        <v>58234.87</v>
      </c>
      <c r="T256" s="2">
        <v>441275.42</v>
      </c>
      <c r="U256" s="12">
        <f>66915.46892
+(1.209928492*E256)
+(27.33619482*F256)
+(-41243.14883*G256)
+(3508.399163*H256)
+(3062.210286*I256)
+(-3438.10791*J256)
+(15157.28728*K256)
+(12509.46131*L256)
+(-15342.70531*M256)
+(-4201.853217*N256)
+(-25291.41891*O256)
+(32832.85351*P256)
+(20219.25907*Q256)
+(44695.0949*R256)</f>
        <v>473373.80093421217</v>
      </c>
      <c r="V256">
        <f>T256-U256</f>
        <v>-32098.380934212182</v>
      </c>
    </row>
    <row r="257" spans="1:22">
      <c r="A257" s="2" t="s">
        <v>36</v>
      </c>
      <c r="B257" s="3">
        <v>45658</v>
      </c>
      <c r="C257" s="2" t="s">
        <v>15</v>
      </c>
      <c r="D257" s="2" t="s">
        <v>21</v>
      </c>
      <c r="E257" s="2">
        <v>19365.060000000001</v>
      </c>
      <c r="F257" s="2">
        <v>2378</v>
      </c>
      <c r="G257" s="2">
        <v>0</v>
      </c>
      <c r="H257" s="2">
        <v>12</v>
      </c>
      <c r="I257" s="2">
        <v>94.8</v>
      </c>
      <c r="J257" s="2">
        <v>0.2</v>
      </c>
      <c r="K257" s="2">
        <v>0</v>
      </c>
      <c r="L257" s="2">
        <v>3.5</v>
      </c>
      <c r="M257" s="5">
        <f>IF(C257="North",1,0)</f>
        <v>0</v>
      </c>
      <c r="N257" s="5">
        <f>IF(C257="South",1,0)</f>
        <v>0</v>
      </c>
      <c r="O257" s="5">
        <f>IF(C257="East",1,0)</f>
        <v>1</v>
      </c>
      <c r="P257" s="5">
        <f>IF(D257="Mall",1,0)</f>
        <v>0</v>
      </c>
      <c r="Q257" s="5">
        <f>IF(D257="High Street",1,0)</f>
        <v>0</v>
      </c>
      <c r="R257" s="5">
        <f>IF(D257="Airport",1,0)</f>
        <v>1</v>
      </c>
      <c r="S257" s="2">
        <v>108592.49</v>
      </c>
      <c r="T257" s="2">
        <v>518049.26</v>
      </c>
      <c r="U257" s="12">
        <f>66915.46892
+(1.209928492*E257)
+(27.33619482*F257)
+(-41243.14883*G257)
+(3508.399163*H257)
+(3062.210286*I257)
+(-3438.10791*J257)
+(15157.28728*K257)
+(12509.46131*L257)
+(-15342.70531*M257)
+(-4201.853217*N257)
+(-25291.41891*O257)
+(32832.85351*P257)
+(20219.25907*Q257)
+(44695.0949*R257)</f>
        <v>550248.77210704959</v>
      </c>
      <c r="V257">
        <f>T257-U257</f>
        <v>-32199.512107049581</v>
      </c>
    </row>
    <row r="258" spans="1:22">
      <c r="A258" s="2" t="s">
        <v>33</v>
      </c>
      <c r="B258" s="3">
        <v>45689</v>
      </c>
      <c r="C258" s="2" t="s">
        <v>27</v>
      </c>
      <c r="D258" s="2" t="s">
        <v>16</v>
      </c>
      <c r="E258" s="2">
        <v>63630.21</v>
      </c>
      <c r="F258" s="2">
        <v>4460</v>
      </c>
      <c r="G258" s="2">
        <v>0.23499999999999999</v>
      </c>
      <c r="H258" s="2">
        <v>14</v>
      </c>
      <c r="I258" s="2">
        <v>98.6</v>
      </c>
      <c r="J258" s="2">
        <v>5.52</v>
      </c>
      <c r="K258" s="2">
        <v>0</v>
      </c>
      <c r="L258" s="2">
        <v>3.5</v>
      </c>
      <c r="M258" s="5">
        <f>IF(C258="North",1,0)</f>
        <v>0</v>
      </c>
      <c r="N258" s="5">
        <f>IF(C258="South",1,0)</f>
        <v>0</v>
      </c>
      <c r="O258" s="5">
        <f>IF(C258="East",1,0)</f>
        <v>0</v>
      </c>
      <c r="P258" s="5">
        <f>IF(D258="Mall",1,0)</f>
        <v>0</v>
      </c>
      <c r="Q258" s="5">
        <f>IF(D258="High Street",1,0)</f>
        <v>0</v>
      </c>
      <c r="R258" s="5">
        <f>IF(D258="Airport",1,0)</f>
        <v>0</v>
      </c>
      <c r="S258" s="2">
        <v>112685.12</v>
      </c>
      <c r="T258" s="2">
        <v>599603.4</v>
      </c>
      <c r="U258" s="12">
        <f>66915.46892
+(1.209928492*E258)
+(27.33619482*F258)
+(-41243.14883*G258)
+(3508.399163*H258)
+(3062.210286*I258)
+(-3438.10791*J258)
+(15157.28728*K258)
+(12509.46131*L258)
+(-15342.70531*M258)
+(-4201.853217*N258)
+(-25291.41891*O258)
+(32832.85351*P258)
+(20219.25907*Q258)
+(44695.0949*R258)</f>
        <v>631987.0432764932</v>
      </c>
      <c r="V258">
        <f>T258-U258</f>
        <v>-32383.643276493181</v>
      </c>
    </row>
    <row r="259" spans="1:22">
      <c r="A259" s="2" t="s">
        <v>70</v>
      </c>
      <c r="B259" s="3">
        <v>45748</v>
      </c>
      <c r="C259" s="2" t="s">
        <v>27</v>
      </c>
      <c r="D259" s="2" t="s">
        <v>16</v>
      </c>
      <c r="E259" s="2">
        <v>41657.64</v>
      </c>
      <c r="F259" s="2">
        <v>3135</v>
      </c>
      <c r="G259" s="2">
        <v>0.22900000000000001</v>
      </c>
      <c r="H259" s="2">
        <v>7</v>
      </c>
      <c r="I259" s="2">
        <v>85.4</v>
      </c>
      <c r="J259" s="2">
        <v>13.48</v>
      </c>
      <c r="K259" s="2">
        <v>0</v>
      </c>
      <c r="L259" s="5">
        <v>3.9</v>
      </c>
      <c r="M259" s="5">
        <f>IF(C259="North",1,0)</f>
        <v>0</v>
      </c>
      <c r="N259" s="5">
        <f>IF(C259="South",1,0)</f>
        <v>0</v>
      </c>
      <c r="O259" s="5">
        <f>IF(C259="East",1,0)</f>
        <v>0</v>
      </c>
      <c r="P259" s="5">
        <f>IF(D259="Mall",1,0)</f>
        <v>0</v>
      </c>
      <c r="Q259" s="5">
        <f>IF(D259="High Street",1,0)</f>
        <v>0</v>
      </c>
      <c r="R259" s="5">
        <f>IF(D259="Airport",1,0)</f>
        <v>0</v>
      </c>
      <c r="S259" s="2">
        <v>65694.78</v>
      </c>
      <c r="T259" s="2">
        <v>449465.06</v>
      </c>
      <c r="U259" s="12">
        <f>66915.46892
+(1.209928492*E259)
+(27.33619482*F259)
+(-41243.14883*G259)
+(3508.399163*H259)
+(3062.210286*I259)
+(-3438.10791*J259)
+(15157.28728*K259)
+(12509.46131*L259)
+(-15342.70531*M259)
+(-4201.853217*N259)
+(-25291.41891*O259)
+(32832.85351*P259)
+(20219.25907*Q259)
+(44695.0949*R259)</f>
        <v>482085.28119170887</v>
      </c>
      <c r="V259">
        <f>T259-U259</f>
        <v>-32620.221191708872</v>
      </c>
    </row>
    <row r="260" spans="1:22">
      <c r="A260" s="2" t="s">
        <v>60</v>
      </c>
      <c r="B260" s="3">
        <v>45717</v>
      </c>
      <c r="C260" s="2" t="s">
        <v>15</v>
      </c>
      <c r="D260" s="2" t="s">
        <v>18</v>
      </c>
      <c r="E260" s="2">
        <v>61433.84</v>
      </c>
      <c r="F260" s="2">
        <v>7745</v>
      </c>
      <c r="G260" s="2">
        <v>0.18</v>
      </c>
      <c r="H260" s="2">
        <v>16</v>
      </c>
      <c r="I260" s="2">
        <v>90.5</v>
      </c>
      <c r="J260" s="2">
        <v>2.2599999999999998</v>
      </c>
      <c r="K260" s="2">
        <v>0</v>
      </c>
      <c r="L260" s="2">
        <v>4.2</v>
      </c>
      <c r="M260" s="5">
        <f>IF(C260="North",1,0)</f>
        <v>0</v>
      </c>
      <c r="N260" s="5">
        <f>IF(C260="South",1,0)</f>
        <v>0</v>
      </c>
      <c r="O260" s="5">
        <f>IF(C260="East",1,0)</f>
        <v>1</v>
      </c>
      <c r="P260" s="5">
        <f>IF(D260="Mall",1,0)</f>
        <v>0</v>
      </c>
      <c r="Q260" s="5">
        <f>IF(D260="High Street",1,0)</f>
        <v>1</v>
      </c>
      <c r="R260" s="5">
        <f>IF(D260="Airport",1,0)</f>
        <v>0</v>
      </c>
      <c r="S260" s="2">
        <v>128736.18</v>
      </c>
      <c r="T260" s="2">
        <v>685830.24</v>
      </c>
      <c r="U260" s="12">
        <f>66915.46892
+(1.209928492*E260)
+(27.33619482*F260)
+(-41243.14883*G260)
+(3508.399163*H260)
+(3062.210286*I260)
+(-3438.10791*J260)
+(15157.28728*K260)
+(12509.46131*L260)
+(-15342.70531*M260)
+(-4201.853217*N260)
+(-25291.41891*O260)
+(32832.85351*P260)
+(20219.25907*Q260)
+(44695.0949*R260)</f>
        <v>718502.95567686937</v>
      </c>
      <c r="V260">
        <f>T260-U260</f>
        <v>-32672.715676869382</v>
      </c>
    </row>
    <row r="261" spans="1:22">
      <c r="A261" s="2" t="s">
        <v>96</v>
      </c>
      <c r="B261" s="3">
        <v>45748</v>
      </c>
      <c r="C261" s="2" t="s">
        <v>27</v>
      </c>
      <c r="D261" s="2" t="s">
        <v>18</v>
      </c>
      <c r="E261" s="2">
        <v>24362.98</v>
      </c>
      <c r="F261" s="2">
        <v>1462</v>
      </c>
      <c r="G261" s="2">
        <v>0.11700000000000001</v>
      </c>
      <c r="H261" s="2">
        <v>6</v>
      </c>
      <c r="I261" s="2">
        <v>89.3</v>
      </c>
      <c r="J261" s="2">
        <v>15.06</v>
      </c>
      <c r="K261" s="2">
        <v>0</v>
      </c>
      <c r="L261" s="2">
        <v>3.2</v>
      </c>
      <c r="M261" s="5">
        <f>IF(C261="North",1,0)</f>
        <v>0</v>
      </c>
      <c r="N261" s="5">
        <f>IF(C261="South",1,0)</f>
        <v>0</v>
      </c>
      <c r="O261" s="5">
        <f>IF(C261="East",1,0)</f>
        <v>0</v>
      </c>
      <c r="P261" s="5">
        <f>IF(D261="Mall",1,0)</f>
        <v>0</v>
      </c>
      <c r="Q261" s="5">
        <f>IF(D261="High Street",1,0)</f>
        <v>1</v>
      </c>
      <c r="R261" s="5">
        <f>IF(D261="Airport",1,0)</f>
        <v>0</v>
      </c>
      <c r="S261" s="2">
        <v>68454.929999999993</v>
      </c>
      <c r="T261" s="2">
        <v>401582.58</v>
      </c>
      <c r="U261" s="12">
        <f>66915.46892
+(1.209928492*E261)
+(27.33619482*F261)
+(-41243.14883*G261)
+(3508.399163*H261)
+(3062.210286*I261)
+(-3438.10791*J261)
+(15157.28728*K261)
+(12509.46131*L261)
+(-15342.70531*M261)
+(-4201.853217*N261)
+(-25291.41891*O261)
+(32832.85351*P261)
+(20219.25907*Q261)
+(44695.0949*R261)</f>
        <v>434510.4046409562</v>
      </c>
      <c r="V261">
        <f>T261-U261</f>
        <v>-32927.824640956183</v>
      </c>
    </row>
    <row r="262" spans="1:22">
      <c r="A262" s="2" t="s">
        <v>73</v>
      </c>
      <c r="B262" s="3">
        <v>45658</v>
      </c>
      <c r="C262" s="2" t="s">
        <v>15</v>
      </c>
      <c r="D262" s="2" t="s">
        <v>28</v>
      </c>
      <c r="E262" s="2">
        <v>92090.14</v>
      </c>
      <c r="F262" s="2">
        <v>9476</v>
      </c>
      <c r="G262" s="2">
        <v>7.0000000000000007E-2</v>
      </c>
      <c r="H262" s="2">
        <v>24</v>
      </c>
      <c r="I262" s="2">
        <v>94.3</v>
      </c>
      <c r="J262" s="2">
        <v>0.87</v>
      </c>
      <c r="K262" s="2">
        <v>0</v>
      </c>
      <c r="L262" s="2">
        <v>3.7</v>
      </c>
      <c r="M262" s="5">
        <f>IF(C262="North",1,0)</f>
        <v>0</v>
      </c>
      <c r="N262" s="5">
        <f>IF(C262="South",1,0)</f>
        <v>0</v>
      </c>
      <c r="O262" s="5">
        <f>IF(C262="East",1,0)</f>
        <v>1</v>
      </c>
      <c r="P262" s="5">
        <f>IF(D262="Mall",1,0)</f>
        <v>1</v>
      </c>
      <c r="Q262" s="5">
        <f>IF(D262="High Street",1,0)</f>
        <v>0</v>
      </c>
      <c r="R262" s="5">
        <f>IF(D262="Airport",1,0)</f>
        <v>0</v>
      </c>
      <c r="S262" s="2">
        <v>143613.15</v>
      </c>
      <c r="T262" s="2">
        <v>825060.52</v>
      </c>
      <c r="U262" s="12">
        <f>66915.46892
+(1.209928492*E262)
+(27.33619482*F262)
+(-41243.14883*G262)
+(3508.399163*H262)
+(3062.210286*I262)
+(-3438.10791*J262)
+(15157.28728*K262)
+(12509.46131*L262)
+(-15342.70531*M262)
+(-4201.853217*N262)
+(-25291.41891*O262)
+(32832.85351*P262)
+(20219.25907*Q262)
+(44695.0949*R262)</f>
        <v>858292.01228158886</v>
      </c>
      <c r="V262">
        <f>T262-U262</f>
        <v>-33231.492281588842</v>
      </c>
    </row>
    <row r="263" spans="1:22">
      <c r="A263" s="2" t="s">
        <v>95</v>
      </c>
      <c r="B263" s="3">
        <v>45658</v>
      </c>
      <c r="C263" s="2" t="s">
        <v>27</v>
      </c>
      <c r="D263" s="2" t="s">
        <v>18</v>
      </c>
      <c r="E263" s="2">
        <v>51996.32</v>
      </c>
      <c r="F263" s="2">
        <v>3834</v>
      </c>
      <c r="G263" s="2">
        <v>9.6000000000000002E-2</v>
      </c>
      <c r="H263" s="2">
        <v>8</v>
      </c>
      <c r="I263" s="2">
        <v>86.7</v>
      </c>
      <c r="J263" s="2">
        <v>6.04</v>
      </c>
      <c r="K263" s="2">
        <v>0</v>
      </c>
      <c r="L263" s="2">
        <v>4.5</v>
      </c>
      <c r="M263" s="5">
        <f>IF(C263="North",1,0)</f>
        <v>0</v>
      </c>
      <c r="N263" s="5">
        <f>IF(C263="South",1,0)</f>
        <v>0</v>
      </c>
      <c r="O263" s="5">
        <f>IF(C263="East",1,0)</f>
        <v>0</v>
      </c>
      <c r="P263" s="5">
        <f>IF(D263="Mall",1,0)</f>
        <v>0</v>
      </c>
      <c r="Q263" s="5">
        <f>IF(D263="High Street",1,0)</f>
        <v>1</v>
      </c>
      <c r="R263" s="5">
        <f>IF(D263="Airport",1,0)</f>
        <v>0</v>
      </c>
      <c r="S263" s="2">
        <v>100769.17</v>
      </c>
      <c r="T263" s="2">
        <v>546223.69999999995</v>
      </c>
      <c r="U263" s="12">
        <f>66915.46892
+(1.209928492*E263)
+(27.33619482*F263)
+(-41243.14883*G263)
+(3508.399163*H263)
+(3062.210286*I263)
+(-3438.10791*J263)
+(15157.28728*K263)
+(12509.46131*L263)
+(-15342.70531*M263)
+(-4201.853217*N263)
+(-25291.41891*O263)
+(32832.85351*P263)
+(20219.25907*Q263)
+(44695.0949*R263)</f>
        <v>579981.41490814951</v>
      </c>
      <c r="V263">
        <f>T263-U263</f>
        <v>-33757.714908149559</v>
      </c>
    </row>
    <row r="264" spans="1:22">
      <c r="A264" s="2" t="s">
        <v>71</v>
      </c>
      <c r="B264" s="3">
        <v>45717</v>
      </c>
      <c r="C264" s="2" t="s">
        <v>20</v>
      </c>
      <c r="D264" s="2" t="s">
        <v>16</v>
      </c>
      <c r="E264" s="2">
        <v>54479.33</v>
      </c>
      <c r="F264" s="2">
        <v>5012</v>
      </c>
      <c r="G264" s="2">
        <v>0.28399999999999997</v>
      </c>
      <c r="H264" s="2">
        <v>13</v>
      </c>
      <c r="I264" s="2">
        <v>86</v>
      </c>
      <c r="J264" s="2">
        <v>2.2400000000000002</v>
      </c>
      <c r="K264" s="2">
        <v>1</v>
      </c>
      <c r="L264" s="2">
        <v>4.3</v>
      </c>
      <c r="M264" s="5">
        <f>IF(C264="North",1,0)</f>
        <v>1</v>
      </c>
      <c r="N264" s="5">
        <f>IF(C264="South",1,0)</f>
        <v>0</v>
      </c>
      <c r="O264" s="5">
        <f>IF(C264="East",1,0)</f>
        <v>0</v>
      </c>
      <c r="P264" s="5">
        <f>IF(D264="Mall",1,0)</f>
        <v>0</v>
      </c>
      <c r="Q264" s="5">
        <f>IF(D264="High Street",1,0)</f>
        <v>0</v>
      </c>
      <c r="R264" s="5">
        <f>IF(D264="Airport",1,0)</f>
        <v>0</v>
      </c>
      <c r="S264" s="2">
        <v>80253.649999999994</v>
      </c>
      <c r="T264" s="2">
        <v>578949.84</v>
      </c>
      <c r="U264" s="12">
        <f>66915.46892
+(1.209928492*E264)
+(27.33619482*F264)
+(-41243.14883*G264)
+(3508.399163*H264)
+(3062.210286*I264)
+(-3438.10791*J264)
+(15157.28728*K264)
+(12509.46131*L264)
+(-15342.70531*M264)
+(-4201.853217*N264)
+(-25291.41891*O264)
+(32832.85351*P264)
+(20219.25907*Q264)
+(44695.0949*R264)</f>
        <v>612990.69428179029</v>
      </c>
      <c r="V264">
        <f>T264-U264</f>
        <v>-34040.854281790322</v>
      </c>
    </row>
    <row r="265" spans="1:22">
      <c r="A265" s="2" t="s">
        <v>74</v>
      </c>
      <c r="B265" s="3">
        <v>45717</v>
      </c>
      <c r="C265" s="2" t="s">
        <v>15</v>
      </c>
      <c r="D265" s="2" t="s">
        <v>18</v>
      </c>
      <c r="E265" s="2">
        <v>107970.19</v>
      </c>
      <c r="F265" s="2">
        <v>12870</v>
      </c>
      <c r="G265" s="2">
        <v>2.9000000000000001E-2</v>
      </c>
      <c r="H265" s="2">
        <v>31</v>
      </c>
      <c r="I265" s="2">
        <v>91.7</v>
      </c>
      <c r="J265" s="2">
        <v>3.82</v>
      </c>
      <c r="K265" s="2">
        <v>1</v>
      </c>
      <c r="L265" s="2">
        <v>3.7</v>
      </c>
      <c r="M265" s="5">
        <f>IF(C265="North",1,0)</f>
        <v>0</v>
      </c>
      <c r="N265" s="5">
        <f>IF(C265="South",1,0)</f>
        <v>0</v>
      </c>
      <c r="O265" s="5">
        <f>IF(C265="East",1,0)</f>
        <v>1</v>
      </c>
      <c r="P265" s="5">
        <f>IF(D265="Mall",1,0)</f>
        <v>0</v>
      </c>
      <c r="Q265" s="5">
        <f>IF(D265="High Street",1,0)</f>
        <v>1</v>
      </c>
      <c r="R265" s="5">
        <f>IF(D265="Airport",1,0)</f>
        <v>0</v>
      </c>
      <c r="S265" s="2">
        <v>184540.31</v>
      </c>
      <c r="T265" s="2">
        <v>946833.54</v>
      </c>
      <c r="U265" s="12">
        <f>66915.46892
+(1.209928492*E265)
+(27.33619482*F265)
+(-41243.14883*G265)
+(3508.399163*H265)
+(3062.210286*I265)
+(-3438.10791*J265)
+(15157.28728*K265)
+(12509.46131*L265)
+(-15342.70531*M265)
+(-4201.853217*N265)
+(-25291.41891*O265)
+(32832.85351*P265)
+(20219.25907*Q265)
+(44695.0949*R265)</f>
        <v>980974.07345498342</v>
      </c>
      <c r="V265">
        <f>T265-U265</f>
        <v>-34140.533454983379</v>
      </c>
    </row>
    <row r="266" spans="1:22">
      <c r="A266" s="2" t="s">
        <v>47</v>
      </c>
      <c r="B266" s="3">
        <v>45689</v>
      </c>
      <c r="C266" s="2" t="s">
        <v>15</v>
      </c>
      <c r="D266" s="2" t="s">
        <v>28</v>
      </c>
      <c r="E266" s="2">
        <v>63101.59</v>
      </c>
      <c r="F266" s="2">
        <v>4373</v>
      </c>
      <c r="G266" s="2">
        <v>0.17299999999999999</v>
      </c>
      <c r="H266" s="2">
        <v>14</v>
      </c>
      <c r="I266" s="2">
        <v>90.4</v>
      </c>
      <c r="J266" s="2">
        <v>7.87</v>
      </c>
      <c r="K266" s="2">
        <v>0</v>
      </c>
      <c r="L266" s="2">
        <v>4.7</v>
      </c>
      <c r="M266" s="5">
        <f>IF(C266="North",1,0)</f>
        <v>0</v>
      </c>
      <c r="N266" s="5">
        <f>IF(C266="South",1,0)</f>
        <v>0</v>
      </c>
      <c r="O266" s="5">
        <f>IF(C266="East",1,0)</f>
        <v>1</v>
      </c>
      <c r="P266" s="5">
        <f>IF(D266="Mall",1,0)</f>
        <v>1</v>
      </c>
      <c r="Q266" s="5">
        <f>IF(D266="High Street",1,0)</f>
        <v>0</v>
      </c>
      <c r="R266" s="5">
        <f>IF(D266="Airport",1,0)</f>
        <v>0</v>
      </c>
      <c r="S266" s="2">
        <v>86498.55</v>
      </c>
      <c r="T266" s="2">
        <v>586626.93999999994</v>
      </c>
      <c r="U266" s="12">
        <f>66915.46892
+(1.209928492*E266)
+(27.33619482*F266)
+(-41243.14883*G266)
+(3508.399163*H266)
+(3062.210286*I266)
+(-3438.10791*J266)
+(15157.28728*K266)
+(12509.46131*L266)
+(-15342.70531*M266)
+(-4201.853217*N266)
+(-25291.41891*O266)
+(32832.85351*P266)
+(20219.25907*Q266)
+(44695.0949*R266)</f>
        <v>620889.38739347225</v>
      </c>
      <c r="V266">
        <f>T266-U266</f>
        <v>-34262.447393472306</v>
      </c>
    </row>
    <row r="267" spans="1:22">
      <c r="A267" s="2" t="s">
        <v>93</v>
      </c>
      <c r="B267" s="3">
        <v>45658</v>
      </c>
      <c r="C267" s="2" t="s">
        <v>27</v>
      </c>
      <c r="D267" s="2" t="s">
        <v>16</v>
      </c>
      <c r="E267" s="2">
        <v>60183.06</v>
      </c>
      <c r="F267" s="2">
        <v>5562</v>
      </c>
      <c r="G267" s="2">
        <v>8.9999999999999993E-3</v>
      </c>
      <c r="H267" s="2">
        <v>13</v>
      </c>
      <c r="I267" s="2">
        <v>86.3</v>
      </c>
      <c r="J267" s="2">
        <v>0.2</v>
      </c>
      <c r="K267" s="2">
        <v>1</v>
      </c>
      <c r="L267" s="2">
        <v>4.5</v>
      </c>
      <c r="M267" s="5">
        <f>IF(C267="North",1,0)</f>
        <v>0</v>
      </c>
      <c r="N267" s="5">
        <f>IF(C267="South",1,0)</f>
        <v>0</v>
      </c>
      <c r="O267" s="5">
        <f>IF(C267="East",1,0)</f>
        <v>0</v>
      </c>
      <c r="P267" s="5">
        <f>IF(D267="Mall",1,0)</f>
        <v>0</v>
      </c>
      <c r="Q267" s="5">
        <f>IF(D267="High Street",1,0)</f>
        <v>0</v>
      </c>
      <c r="R267" s="5">
        <f>IF(D267="Airport",1,0)</f>
        <v>0</v>
      </c>
      <c r="S267" s="2">
        <v>122636.86</v>
      </c>
      <c r="T267" s="2">
        <v>636775.66</v>
      </c>
      <c r="U267" s="12">
        <f>66915.46892
+(1.209928492*E267)
+(27.33619482*F267)
+(-41243.14883*G267)
+(3508.399163*H267)
+(3062.210286*I267)
+(-3438.10791*J267)
+(15157.28728*K267)
+(12509.46131*L267)
+(-15342.70531*M267)
+(-4201.853217*N267)
+(-25291.41891*O267)
+(32832.85351*P267)
+(20219.25907*Q267)
+(44695.0949*R267)</f>
        <v>672045.57359291543</v>
      </c>
      <c r="V267">
        <f>T267-U267</f>
        <v>-35269.9135929154</v>
      </c>
    </row>
    <row r="268" spans="1:22">
      <c r="A268" s="2" t="s">
        <v>46</v>
      </c>
      <c r="B268" s="3">
        <v>45717</v>
      </c>
      <c r="C268" s="2" t="s">
        <v>27</v>
      </c>
      <c r="D268" s="2" t="s">
        <v>28</v>
      </c>
      <c r="E268" s="2">
        <v>38752.800000000003</v>
      </c>
      <c r="F268" s="2">
        <v>4712</v>
      </c>
      <c r="G268" s="2">
        <v>7.4999999999999997E-2</v>
      </c>
      <c r="H268" s="2">
        <v>15</v>
      </c>
      <c r="I268" s="2">
        <v>89.7</v>
      </c>
      <c r="J268" s="2">
        <v>3.3650000000000002</v>
      </c>
      <c r="K268" s="2">
        <v>0</v>
      </c>
      <c r="L268" s="2">
        <v>4.3</v>
      </c>
      <c r="M268" s="5">
        <f>IF(C268="North",1,0)</f>
        <v>0</v>
      </c>
      <c r="N268" s="5">
        <f>IF(C268="South",1,0)</f>
        <v>0</v>
      </c>
      <c r="O268" s="5">
        <f>IF(C268="East",1,0)</f>
        <v>0</v>
      </c>
      <c r="P268" s="5">
        <f>IF(D268="Mall",1,0)</f>
        <v>1</v>
      </c>
      <c r="Q268" s="5">
        <f>IF(D268="High Street",1,0)</f>
        <v>0</v>
      </c>
      <c r="R268" s="5">
        <f>IF(D268="Airport",1,0)</f>
        <v>0</v>
      </c>
      <c r="S268" s="2">
        <v>107194.6</v>
      </c>
      <c r="T268" s="2">
        <v>605775.32999999996</v>
      </c>
      <c r="U268" s="12">
        <f>66915.46892
+(1.209928492*E268)
+(27.33619482*F268)
+(-41243.14883*G268)
+(3508.399163*H268)
+(3062.210286*I268)
+(-3438.10791*J268)
+(15157.28728*K268)
+(12509.46131*L268)
+(-15342.70531*M268)
+(-4201.853217*N268)
+(-25291.41891*O268)
+(32832.85351*P268)
+(20219.25907*Q268)
+(44695.0949*R268)</f>
        <v>641879.05373941758</v>
      </c>
      <c r="V268">
        <f>T268-U268</f>
        <v>-36103.723739417619</v>
      </c>
    </row>
    <row r="269" spans="1:22">
      <c r="A269" s="2" t="s">
        <v>35</v>
      </c>
      <c r="B269" s="3">
        <v>45658</v>
      </c>
      <c r="C269" s="2" t="s">
        <v>27</v>
      </c>
      <c r="D269" s="2" t="s">
        <v>18</v>
      </c>
      <c r="E269" s="2">
        <v>53015.46</v>
      </c>
      <c r="F269" s="2">
        <v>3279</v>
      </c>
      <c r="G269" s="2">
        <v>8.6999999999999994E-2</v>
      </c>
      <c r="H269" s="2">
        <v>9</v>
      </c>
      <c r="I269" s="2">
        <v>84.3</v>
      </c>
      <c r="J269" s="2">
        <v>22.02</v>
      </c>
      <c r="K269" s="2">
        <v>0</v>
      </c>
      <c r="L269" s="2">
        <v>3.9</v>
      </c>
      <c r="M269" s="5">
        <f>IF(C269="North",1,0)</f>
        <v>0</v>
      </c>
      <c r="N269" s="5">
        <f>IF(C269="South",1,0)</f>
        <v>0</v>
      </c>
      <c r="O269" s="5">
        <f>IF(C269="East",1,0)</f>
        <v>0</v>
      </c>
      <c r="P269" s="5">
        <f>IF(D269="Mall",1,0)</f>
        <v>0</v>
      </c>
      <c r="Q269" s="5">
        <f>IF(D269="High Street",1,0)</f>
        <v>1</v>
      </c>
      <c r="R269" s="5">
        <f>IF(D269="Airport",1,0)</f>
        <v>0</v>
      </c>
      <c r="S269" s="2">
        <v>81834.539999999994</v>
      </c>
      <c r="T269" s="2">
        <v>463534.25</v>
      </c>
      <c r="U269" s="12">
        <f>66915.46892
+(1.209928492*E269)
+(27.33619482*F269)
+(-41243.14883*G269)
+(3508.399163*H269)
+(3062.210286*I269)
+(-3438.10791*J269)
+(15157.28728*K269)
+(12509.46131*L269)
+(-15342.70531*M269)
+(-4201.853217*N269)
+(-25291.41891*O269)
+(32832.85351*P269)
+(20219.25907*Q269)
+(44695.0949*R269)</f>
        <v>500126.55493465625</v>
      </c>
      <c r="V269">
        <f>T269-U269</f>
        <v>-36592.304934656247</v>
      </c>
    </row>
    <row r="270" spans="1:22">
      <c r="A270" s="2" t="s">
        <v>83</v>
      </c>
      <c r="B270" s="3">
        <v>45717</v>
      </c>
      <c r="C270" s="2" t="s">
        <v>15</v>
      </c>
      <c r="D270" s="2" t="s">
        <v>18</v>
      </c>
      <c r="E270" s="2">
        <v>57390.04</v>
      </c>
      <c r="F270" s="2">
        <v>7374</v>
      </c>
      <c r="G270" s="2">
        <v>0.21</v>
      </c>
      <c r="H270" s="2">
        <v>21</v>
      </c>
      <c r="I270" s="2">
        <v>91.8</v>
      </c>
      <c r="J270" s="2">
        <v>0.2</v>
      </c>
      <c r="K270" s="2">
        <v>0</v>
      </c>
      <c r="L270" s="2">
        <v>3.1</v>
      </c>
      <c r="M270" s="5">
        <f>IF(C270="North",1,0)</f>
        <v>0</v>
      </c>
      <c r="N270" s="5">
        <f>IF(C270="South",1,0)</f>
        <v>0</v>
      </c>
      <c r="O270" s="5">
        <f>IF(C270="East",1,0)</f>
        <v>1</v>
      </c>
      <c r="P270" s="5">
        <f>IF(D270="Mall",1,0)</f>
        <v>0</v>
      </c>
      <c r="Q270" s="5">
        <f>IF(D270="High Street",1,0)</f>
        <v>1</v>
      </c>
      <c r="R270" s="5">
        <f>IF(D270="Airport",1,0)</f>
        <v>0</v>
      </c>
      <c r="S270" s="2">
        <v>106927.58</v>
      </c>
      <c r="T270" s="2">
        <v>679230.86</v>
      </c>
      <c r="U270" s="12">
        <f>66915.46892
+(1.209928492*E270)
+(27.33619482*F270)
+(-41243.14883*G270)
+(3508.399163*H270)
+(3062.210286*I270)
+(-3438.10791*J270)
+(15157.28728*K270)
+(12509.46131*L270)
+(-15342.70531*M270)
+(-4201.853217*N270)
+(-25291.41891*O270)
+(32832.85351*P270)
+(20219.25907*Q270)
+(44695.0949*R270)</f>
        <v>717076.18813819962</v>
      </c>
      <c r="V270">
        <f>T270-U270</f>
        <v>-37845.328138199635</v>
      </c>
    </row>
    <row r="271" spans="1:22">
      <c r="A271" s="2" t="s">
        <v>53</v>
      </c>
      <c r="B271" s="3">
        <v>45689</v>
      </c>
      <c r="C271" s="2" t="s">
        <v>24</v>
      </c>
      <c r="D271" s="2" t="s">
        <v>18</v>
      </c>
      <c r="E271" s="2">
        <v>44747</v>
      </c>
      <c r="F271" s="2">
        <v>11076</v>
      </c>
      <c r="G271" s="2">
        <v>0.17599999999999999</v>
      </c>
      <c r="H271" s="2">
        <v>27</v>
      </c>
      <c r="I271" s="2">
        <v>98.3</v>
      </c>
      <c r="J271" s="2">
        <v>0.54</v>
      </c>
      <c r="K271" s="2">
        <v>0</v>
      </c>
      <c r="L271" s="2">
        <v>4.4000000000000004</v>
      </c>
      <c r="M271" s="5">
        <f>IF(C271="North",1,0)</f>
        <v>0</v>
      </c>
      <c r="N271" s="5">
        <f>IF(C271="South",1,0)</f>
        <v>1</v>
      </c>
      <c r="O271" s="5">
        <f>IF(C271="East",1,0)</f>
        <v>0</v>
      </c>
      <c r="P271" s="5">
        <f>IF(D271="Mall",1,0)</f>
        <v>0</v>
      </c>
      <c r="Q271" s="5">
        <f>IF(D271="High Street",1,0)</f>
        <v>1</v>
      </c>
      <c r="R271" s="5">
        <f>IF(D271="Airport",1,0)</f>
        <v>0</v>
      </c>
      <c r="S271" s="2">
        <v>169983.63</v>
      </c>
      <c r="T271" s="2">
        <v>842439.67</v>
      </c>
      <c r="U271" s="12">
        <f>66915.46892
+(1.209928492*E271)
+(27.33619482*F271)
+(-41243.14883*G271)
+(3508.399163*H271)
+(3062.210286*I271)
+(-3438.10791*J271)
+(15157.28728*K271)
+(12509.46131*L271)
+(-15342.70531*M271)
+(-4201.853217*N271)
+(-25291.41891*O271)
+(32832.85351*P271)
+(20219.25907*Q271)
+(44695.0949*R271)</f>
        <v>881517.54464416404</v>
      </c>
      <c r="V271">
        <f>T271-U271</f>
        <v>-39077.874644163996</v>
      </c>
    </row>
    <row r="272" spans="1:22">
      <c r="A272" s="2" t="s">
        <v>62</v>
      </c>
      <c r="B272" s="3">
        <v>45748</v>
      </c>
      <c r="C272" s="2" t="s">
        <v>24</v>
      </c>
      <c r="D272" s="2" t="s">
        <v>18</v>
      </c>
      <c r="E272" s="2">
        <v>66870.62</v>
      </c>
      <c r="F272" s="2">
        <v>6055</v>
      </c>
      <c r="G272" s="2">
        <v>7.4999999999999997E-2</v>
      </c>
      <c r="H272" s="2">
        <v>19</v>
      </c>
      <c r="I272" s="2">
        <v>93.8</v>
      </c>
      <c r="J272" s="2">
        <v>0.54</v>
      </c>
      <c r="K272" s="2">
        <v>0</v>
      </c>
      <c r="L272" s="2">
        <v>4.3</v>
      </c>
      <c r="M272" s="5">
        <f>IF(C272="North",1,0)</f>
        <v>0</v>
      </c>
      <c r="N272" s="5">
        <f>IF(C272="South",1,0)</f>
        <v>1</v>
      </c>
      <c r="O272" s="5">
        <f>IF(C272="East",1,0)</f>
        <v>0</v>
      </c>
      <c r="P272" s="5">
        <f>IF(D272="Mall",1,0)</f>
        <v>0</v>
      </c>
      <c r="Q272" s="5">
        <f>IF(D272="High Street",1,0)</f>
        <v>1</v>
      </c>
      <c r="R272" s="5">
        <f>IF(D272="Airport",1,0)</f>
        <v>0</v>
      </c>
      <c r="S272" s="2">
        <v>116337.87</v>
      </c>
      <c r="T272" s="2">
        <v>692008.64</v>
      </c>
      <c r="U272" s="12">
        <f>66915.46892
+(1.209928492*E272)
+(27.33619482*F272)
+(-41243.14883*G272)
+(3508.399163*H272)
+(3062.210286*I272)
+(-3438.10791*J272)
+(15157.28728*K272)
+(12509.46131*L272)
+(-15342.70531*M272)
+(-4201.853217*N272)
+(-25291.41891*O272)
+(32832.85351*P272)
+(20219.25907*Q272)
+(44695.0949*R272)</f>
        <v>732097.98094695515</v>
      </c>
      <c r="V272">
        <f>T272-U272</f>
        <v>-40089.340946955141</v>
      </c>
    </row>
    <row r="273" spans="1:22">
      <c r="A273" s="2" t="s">
        <v>70</v>
      </c>
      <c r="B273" s="3">
        <v>45658</v>
      </c>
      <c r="C273" s="2" t="s">
        <v>27</v>
      </c>
      <c r="D273" s="2" t="s">
        <v>16</v>
      </c>
      <c r="E273" s="2">
        <v>81796.740000000005</v>
      </c>
      <c r="F273" s="2">
        <v>6177</v>
      </c>
      <c r="G273" s="2">
        <v>0.16400000000000001</v>
      </c>
      <c r="H273" s="2">
        <v>14</v>
      </c>
      <c r="I273" s="2">
        <v>87.9</v>
      </c>
      <c r="J273" s="2">
        <v>0.53</v>
      </c>
      <c r="K273" s="2">
        <v>0</v>
      </c>
      <c r="L273" s="2">
        <v>3.2</v>
      </c>
      <c r="M273" s="5">
        <f>IF(C273="North",1,0)</f>
        <v>0</v>
      </c>
      <c r="N273" s="5">
        <f>IF(C273="South",1,0)</f>
        <v>0</v>
      </c>
      <c r="O273" s="5">
        <f>IF(C273="East",1,0)</f>
        <v>0</v>
      </c>
      <c r="P273" s="5">
        <f>IF(D273="Mall",1,0)</f>
        <v>0</v>
      </c>
      <c r="Q273" s="5">
        <f>IF(D273="High Street",1,0)</f>
        <v>0</v>
      </c>
      <c r="R273" s="5">
        <f>IF(D273="Airport",1,0)</f>
        <v>0</v>
      </c>
      <c r="S273" s="2">
        <v>94477.63</v>
      </c>
      <c r="T273" s="2">
        <v>643428.85</v>
      </c>
      <c r="U273" s="12">
        <f>66915.46892
+(1.209928492*E273)
+(27.33619482*F273)
+(-41243.14883*G273)
+(3508.399163*H273)
+(3062.210286*I273)
+(-3438.10791*J273)
+(15157.28728*K273)
+(12509.46131*L273)
+(-15342.70531*M273)
+(-4201.853217*N273)
+(-25291.41891*O273)
+(32832.85351*P273)
+(20219.25907*Q273)
+(44695.0949*R273)</f>
        <v>684469.42561483616</v>
      </c>
      <c r="V273">
        <f>T273-U273</f>
        <v>-41040.575614836183</v>
      </c>
    </row>
    <row r="274" spans="1:22">
      <c r="A274" s="2" t="s">
        <v>42</v>
      </c>
      <c r="B274" s="3">
        <v>45658</v>
      </c>
      <c r="C274" s="2" t="s">
        <v>27</v>
      </c>
      <c r="D274" s="2" t="s">
        <v>28</v>
      </c>
      <c r="E274" s="2">
        <v>60881.01</v>
      </c>
      <c r="F274" s="2">
        <v>5410</v>
      </c>
      <c r="G274" s="2">
        <v>0.17899999999999999</v>
      </c>
      <c r="H274" s="2">
        <v>15</v>
      </c>
      <c r="I274" s="2">
        <v>83.9</v>
      </c>
      <c r="J274" s="2">
        <v>5.24</v>
      </c>
      <c r="K274" s="2">
        <v>0</v>
      </c>
      <c r="L274" s="2">
        <v>4.5999999999999996</v>
      </c>
      <c r="M274" s="5">
        <f>IF(C274="North",1,0)</f>
        <v>0</v>
      </c>
      <c r="N274" s="5">
        <f>IF(C274="South",1,0)</f>
        <v>0</v>
      </c>
      <c r="O274" s="5">
        <f>IF(C274="East",1,0)</f>
        <v>0</v>
      </c>
      <c r="P274" s="5">
        <f>IF(D274="Mall",1,0)</f>
        <v>1</v>
      </c>
      <c r="Q274" s="5">
        <f>IF(D274="High Street",1,0)</f>
        <v>0</v>
      </c>
      <c r="R274" s="5">
        <f>IF(D274="Airport",1,0)</f>
        <v>0</v>
      </c>
      <c r="S274" s="2">
        <v>85493.64</v>
      </c>
      <c r="T274" s="2">
        <v>621369.57999999996</v>
      </c>
      <c r="U274" s="12">
        <f>66915.46892
+(1.209928492*E274)
+(27.33619482*F274)
+(-41243.14883*G274)
+(3508.399163*H274)
+(3062.210286*I274)
+(-3438.10791*J274)
+(15157.28728*K274)
+(12509.46131*L274)
+(-15342.70531*M274)
+(-4201.853217*N274)
+(-25291.41891*O274)
+(32832.85351*P274)
+(20219.25907*Q274)
+(44695.0949*R274)</f>
        <v>662989.54840436694</v>
      </c>
      <c r="V274">
        <f>T274-U274</f>
        <v>-41619.968404366984</v>
      </c>
    </row>
    <row r="275" spans="1:22">
      <c r="A275" s="2" t="s">
        <v>38</v>
      </c>
      <c r="B275" s="3">
        <v>45658</v>
      </c>
      <c r="C275" s="2" t="s">
        <v>27</v>
      </c>
      <c r="D275" s="2" t="s">
        <v>18</v>
      </c>
      <c r="E275" s="2">
        <v>70040.31</v>
      </c>
      <c r="F275" s="2">
        <v>9175</v>
      </c>
      <c r="G275" s="2">
        <v>0.107</v>
      </c>
      <c r="H275" s="2">
        <v>23</v>
      </c>
      <c r="I275" s="2">
        <v>95.1</v>
      </c>
      <c r="J275" s="2">
        <v>6.08</v>
      </c>
      <c r="K275" s="2">
        <v>1</v>
      </c>
      <c r="L275" s="2">
        <v>3.4</v>
      </c>
      <c r="M275" s="5">
        <f>IF(C275="North",1,0)</f>
        <v>0</v>
      </c>
      <c r="N275" s="5">
        <f>IF(C275="South",1,0)</f>
        <v>0</v>
      </c>
      <c r="O275" s="5">
        <f>IF(C275="East",1,0)</f>
        <v>0</v>
      </c>
      <c r="P275" s="5">
        <f>IF(D275="Mall",1,0)</f>
        <v>0</v>
      </c>
      <c r="Q275" s="5">
        <f>IF(D275="High Street",1,0)</f>
        <v>1</v>
      </c>
      <c r="R275" s="5">
        <f>IF(D275="Airport",1,0)</f>
        <v>0</v>
      </c>
      <c r="S275" s="2">
        <v>129519.72</v>
      </c>
      <c r="T275" s="2">
        <v>784502.68</v>
      </c>
      <c r="U275" s="12">
        <f>66915.46892
+(1.209928492*E275)
+(27.33619482*F275)
+(-41243.14883*G275)
+(3508.399163*H275)
+(3062.210286*I275)
+(-3438.10791*J275)
+(15157.28728*K275)
+(12509.46131*L275)
+(-15342.70531*M275)
+(-4201.853217*N275)
+(-25291.41891*O275)
+(32832.85351*P275)
+(20219.25907*Q275)
+(44695.0949*R275)</f>
        <v>826970.20378500258</v>
      </c>
      <c r="V275">
        <f>T275-U275</f>
        <v>-42467.52378500253</v>
      </c>
    </row>
    <row r="276" spans="1:22">
      <c r="A276" s="2" t="s">
        <v>50</v>
      </c>
      <c r="B276" s="3">
        <v>45748</v>
      </c>
      <c r="C276" s="2" t="s">
        <v>27</v>
      </c>
      <c r="D276" s="2" t="s">
        <v>28</v>
      </c>
      <c r="E276" s="2">
        <v>25990.54</v>
      </c>
      <c r="F276" s="2">
        <v>9249</v>
      </c>
      <c r="G276" s="2">
        <v>0.13900000000000001</v>
      </c>
      <c r="H276" s="2">
        <v>23</v>
      </c>
      <c r="I276" s="2">
        <v>92.5</v>
      </c>
      <c r="J276" s="2">
        <v>6.37</v>
      </c>
      <c r="K276" s="2">
        <v>0</v>
      </c>
      <c r="L276" s="2">
        <v>3.3</v>
      </c>
      <c r="M276" s="5">
        <f>IF(C276="North",1,0)</f>
        <v>0</v>
      </c>
      <c r="N276" s="5">
        <f>IF(C276="South",1,0)</f>
        <v>0</v>
      </c>
      <c r="O276" s="5">
        <f>IF(C276="East",1,0)</f>
        <v>0</v>
      </c>
      <c r="P276" s="5">
        <f>IF(D276="Mall",1,0)</f>
        <v>1</v>
      </c>
      <c r="Q276" s="5">
        <f>IF(D276="High Street",1,0)</f>
        <v>0</v>
      </c>
      <c r="R276" s="5">
        <f>IF(D276="Airport",1,0)</f>
        <v>0</v>
      </c>
      <c r="S276" s="2">
        <v>115819.87</v>
      </c>
      <c r="T276" s="2">
        <v>718074.79</v>
      </c>
      <c r="U276" s="12">
        <f>66915.46892
+(1.209928492*E276)
+(27.33619482*F276)
+(-41243.14883*G276)
+(3508.399163*H276)
+(3062.210286*I276)
+(-3438.10791*J276)
+(15157.28728*K276)
+(12509.46131*L276)
+(-15342.70531*M276)
+(-4201.853217*N276)
+(-25291.41891*O276)
+(32832.85351*P276)
+(20219.25907*Q276)
+(44695.0949*R276)</f>
        <v>761622.79264157568</v>
      </c>
      <c r="V276">
        <f>T276-U276</f>
        <v>-43548.002641575644</v>
      </c>
    </row>
    <row r="277" spans="1:22">
      <c r="A277" s="2" t="s">
        <v>26</v>
      </c>
      <c r="B277" s="3">
        <v>45658</v>
      </c>
      <c r="C277" s="2" t="s">
        <v>27</v>
      </c>
      <c r="D277" s="2" t="s">
        <v>28</v>
      </c>
      <c r="E277" s="2">
        <v>57696.69</v>
      </c>
      <c r="F277" s="2">
        <v>10218</v>
      </c>
      <c r="G277" s="2">
        <v>0.121</v>
      </c>
      <c r="H277" s="2">
        <v>25</v>
      </c>
      <c r="I277" s="2">
        <v>94.8</v>
      </c>
      <c r="J277" s="2">
        <v>2.99</v>
      </c>
      <c r="K277" s="2">
        <v>0</v>
      </c>
      <c r="L277" s="2">
        <v>3.5</v>
      </c>
      <c r="M277" s="5">
        <f>IF(C277="North",1,0)</f>
        <v>0</v>
      </c>
      <c r="N277" s="5">
        <f>IF(C277="South",1,0)</f>
        <v>0</v>
      </c>
      <c r="O277" s="5">
        <f>IF(C277="East",1,0)</f>
        <v>0</v>
      </c>
      <c r="P277" s="5">
        <f>IF(D277="Mall",1,0)</f>
        <v>1</v>
      </c>
      <c r="Q277" s="5">
        <f>IF(D277="High Street",1,0)</f>
        <v>0</v>
      </c>
      <c r="R277" s="5">
        <f>IF(D277="Airport",1,0)</f>
        <v>0</v>
      </c>
      <c r="S277" s="2">
        <v>148756.24</v>
      </c>
      <c r="T277" s="2">
        <v>811771.14</v>
      </c>
      <c r="U277" s="12">
        <f>66915.46892
+(1.209928492*E277)
+(27.33619482*F277)
+(-41243.14883*G277)
+(3508.399163*H277)
+(3062.210286*I277)
+(-3438.10791*J277)
+(15157.28728*K277)
+(12509.46131*L277)
+(-15342.70531*M277)
+(-4201.853217*N277)
+(-25291.41891*O277)
+(32832.85351*P277)
+(20219.25907*Q277)
+(44695.0949*R277)</f>
        <v>855398.69533932151</v>
      </c>
      <c r="V277">
        <f>T277-U277</f>
        <v>-43627.555339321494</v>
      </c>
    </row>
    <row r="278" spans="1:22">
      <c r="A278" s="2" t="s">
        <v>72</v>
      </c>
      <c r="B278" s="3">
        <v>45748</v>
      </c>
      <c r="C278" s="2" t="s">
        <v>15</v>
      </c>
      <c r="D278" s="2" t="s">
        <v>21</v>
      </c>
      <c r="E278" s="2">
        <v>64104.28</v>
      </c>
      <c r="F278" s="2">
        <v>6015</v>
      </c>
      <c r="G278" s="2">
        <v>0.127</v>
      </c>
      <c r="H278" s="2">
        <v>15</v>
      </c>
      <c r="I278" s="2">
        <v>88.7</v>
      </c>
      <c r="J278" s="2">
        <v>0.78</v>
      </c>
      <c r="K278" s="2">
        <v>0</v>
      </c>
      <c r="L278" s="2">
        <v>4</v>
      </c>
      <c r="M278" s="5">
        <f>IF(C278="North",1,0)</f>
        <v>0</v>
      </c>
      <c r="N278" s="5">
        <f>IF(C278="South",1,0)</f>
        <v>0</v>
      </c>
      <c r="O278" s="5">
        <f>IF(C278="East",1,0)</f>
        <v>1</v>
      </c>
      <c r="P278" s="5">
        <f>IF(D278="Mall",1,0)</f>
        <v>0</v>
      </c>
      <c r="Q278" s="5">
        <f>IF(D278="High Street",1,0)</f>
        <v>0</v>
      </c>
      <c r="R278" s="5">
        <f>IF(D278="Airport",1,0)</f>
        <v>1</v>
      </c>
      <c r="S278" s="2">
        <v>103035.89</v>
      </c>
      <c r="T278" s="2">
        <v>650795.49</v>
      </c>
      <c r="U278" s="12">
        <f>66915.46892
+(1.209928492*E278)
+(27.33619482*F278)
+(-41243.14883*G278)
+(3508.399163*H278)
+(3062.210286*I278)
+(-3438.10791*J278)
+(15157.28728*K278)
+(12509.46131*L278)
+(-15342.70531*M278)
+(-4201.853217*N278)
+(-25291.41891*O278)
+(32832.85351*P278)
+(20219.25907*Q278)
+(44695.0949*R278)</f>
        <v>694670.23256543581</v>
      </c>
      <c r="V278">
        <f>T278-U278</f>
        <v>-43874.742565435823</v>
      </c>
    </row>
    <row r="279" spans="1:22">
      <c r="A279" s="2" t="s">
        <v>14</v>
      </c>
      <c r="B279" s="3">
        <v>45689</v>
      </c>
      <c r="C279" s="2" t="s">
        <v>15</v>
      </c>
      <c r="D279" s="2" t="s">
        <v>16</v>
      </c>
      <c r="E279" s="2">
        <v>43827.89</v>
      </c>
      <c r="F279" s="2">
        <v>8487</v>
      </c>
      <c r="G279" s="2">
        <v>0.16800000000000001</v>
      </c>
      <c r="H279" s="2">
        <v>23</v>
      </c>
      <c r="I279" s="2">
        <v>84.4</v>
      </c>
      <c r="J279" s="2">
        <v>4.3099999999999996</v>
      </c>
      <c r="K279" s="2">
        <v>0</v>
      </c>
      <c r="L279" s="2">
        <v>2.8</v>
      </c>
      <c r="M279" s="5">
        <f>IF(C279="North",1,0)</f>
        <v>0</v>
      </c>
      <c r="N279" s="5">
        <f>IF(C279="South",1,0)</f>
        <v>0</v>
      </c>
      <c r="O279" s="5">
        <f>IF(C279="East",1,0)</f>
        <v>1</v>
      </c>
      <c r="P279" s="5">
        <f>IF(D279="Mall",1,0)</f>
        <v>0</v>
      </c>
      <c r="Q279" s="5">
        <f>IF(D279="High Street",1,0)</f>
        <v>0</v>
      </c>
      <c r="R279" s="5">
        <f>IF(D279="Airport",1,0)</f>
        <v>0</v>
      </c>
      <c r="S279" s="2">
        <v>106130.54</v>
      </c>
      <c r="T279" s="2">
        <v>634436</v>
      </c>
      <c r="U279" s="12">
        <f>66915.46892
+(1.209928492*E279)
+(27.33619482*F279)
+(-41243.14883*G279)
+(3508.399163*H279)
+(3062.210286*I279)
+(-3438.10791*J279)
+(15157.28728*K279)
+(12509.46131*L279)
+(-15342.70531*M279)
+(-4201.853217*N279)
+(-25291.41891*O279)
+(32832.85351*P279)
+(20219.25907*Q279)
+(44695.0949*R279)</f>
        <v>679078.07476244192</v>
      </c>
      <c r="V279">
        <f>T279-U279</f>
        <v>-44642.074762441916</v>
      </c>
    </row>
    <row r="280" spans="1:22">
      <c r="A280" s="2" t="s">
        <v>22</v>
      </c>
      <c r="B280" s="3">
        <v>45689</v>
      </c>
      <c r="C280" s="2" t="s">
        <v>15</v>
      </c>
      <c r="D280" s="2" t="s">
        <v>16</v>
      </c>
      <c r="E280" s="2">
        <v>55716.82</v>
      </c>
      <c r="F280" s="2">
        <v>10054</v>
      </c>
      <c r="G280" s="2">
        <v>0.14599999999999999</v>
      </c>
      <c r="H280" s="2">
        <v>24</v>
      </c>
      <c r="I280" s="2">
        <v>84.9</v>
      </c>
      <c r="J280" s="2">
        <v>1.06</v>
      </c>
      <c r="K280" s="2">
        <v>0</v>
      </c>
      <c r="L280" s="2">
        <v>4.3</v>
      </c>
      <c r="M280" s="5">
        <f>IF(C280="North",1,0)</f>
        <v>0</v>
      </c>
      <c r="N280" s="5">
        <f>IF(C280="South",1,0)</f>
        <v>0</v>
      </c>
      <c r="O280" s="5">
        <f>IF(C280="East",1,0)</f>
        <v>1</v>
      </c>
      <c r="P280" s="5">
        <f>IF(D280="Mall",1,0)</f>
        <v>0</v>
      </c>
      <c r="Q280" s="5">
        <f>IF(D280="High Street",1,0)</f>
        <v>0</v>
      </c>
      <c r="R280" s="5">
        <f>IF(D280="Airport",1,0)</f>
        <v>0</v>
      </c>
      <c r="S280" s="2">
        <v>122729.29</v>
      </c>
      <c r="T280" s="2">
        <v>726606.28</v>
      </c>
      <c r="U280" s="12">
        <f>66915.46892
+(1.209928492*E280)
+(27.33619482*F280)
+(-41243.14883*G280)
+(3508.399163*H280)
+(3062.210286*I280)
+(-3438.10791*J280)
+(15157.28728*K280)
+(12509.46131*L280)
+(-15342.70531*M280)
+(-4201.853217*N280)
+(-25291.41891*O280)
+(32832.85351*P280)
+(20219.25907*Q280)
+(44695.0949*R280)</f>
        <v>772183.54344453546</v>
      </c>
      <c r="V280">
        <f>T280-U280</f>
        <v>-45577.263444535434</v>
      </c>
    </row>
    <row r="281" spans="1:22">
      <c r="A281" s="2" t="s">
        <v>97</v>
      </c>
      <c r="B281" s="3">
        <v>45658</v>
      </c>
      <c r="C281" s="2" t="s">
        <v>20</v>
      </c>
      <c r="D281" s="2" t="s">
        <v>28</v>
      </c>
      <c r="E281" s="2">
        <v>40647.67</v>
      </c>
      <c r="F281" s="2">
        <v>8252</v>
      </c>
      <c r="G281" s="2">
        <v>0.14099999999999999</v>
      </c>
      <c r="H281" s="2">
        <v>22</v>
      </c>
      <c r="I281" s="2">
        <v>88.2</v>
      </c>
      <c r="J281" s="2">
        <v>5.07</v>
      </c>
      <c r="K281" s="2">
        <v>1</v>
      </c>
      <c r="L281" s="2">
        <v>4.0999999999999996</v>
      </c>
      <c r="M281" s="5">
        <f>IF(C281="North",1,0)</f>
        <v>1</v>
      </c>
      <c r="N281" s="5">
        <f>IF(C281="South",1,0)</f>
        <v>0</v>
      </c>
      <c r="O281" s="5">
        <f>IF(C281="East",1,0)</f>
        <v>0</v>
      </c>
      <c r="P281" s="5">
        <f>IF(D281="Mall",1,0)</f>
        <v>1</v>
      </c>
      <c r="Q281" s="5">
        <f>IF(D281="High Street",1,0)</f>
        <v>0</v>
      </c>
      <c r="R281" s="5">
        <f>IF(D281="Airport",1,0)</f>
        <v>0</v>
      </c>
      <c r="S281" s="2">
        <v>133577.98000000001</v>
      </c>
      <c r="T281" s="2">
        <v>703812.99</v>
      </c>
      <c r="U281" s="12">
        <f>66915.46892
+(1.209928492*E281)
+(27.33619482*F281)
+(-41243.14883*G281)
+(3508.399163*H281)
+(3062.210286*I281)
+(-3438.10791*J281)
+(15157.28728*K281)
+(12509.46131*L281)
+(-15342.70531*M281)
+(-4201.853217*N281)
+(-25291.41891*O281)
+(32832.85351*P281)
+(20219.25907*Q281)
+(44695.0949*R281)</f>
        <v>749635.98721452372</v>
      </c>
      <c r="V281">
        <f>T281-U281</f>
        <v>-45822.997214523726</v>
      </c>
    </row>
    <row r="282" spans="1:22">
      <c r="A282" s="2" t="s">
        <v>98</v>
      </c>
      <c r="B282" s="3">
        <v>45748</v>
      </c>
      <c r="C282" s="2" t="s">
        <v>24</v>
      </c>
      <c r="D282" s="2" t="s">
        <v>16</v>
      </c>
      <c r="E282" s="2">
        <v>60684.05</v>
      </c>
      <c r="F282" s="2">
        <v>6399</v>
      </c>
      <c r="G282" s="2">
        <v>7.4999999999999997E-2</v>
      </c>
      <c r="H282" s="2">
        <v>16</v>
      </c>
      <c r="I282" s="2">
        <v>99</v>
      </c>
      <c r="J282" s="2">
        <v>3.82</v>
      </c>
      <c r="K282" s="2">
        <v>0</v>
      </c>
      <c r="L282" s="2">
        <v>3.5</v>
      </c>
      <c r="M282" s="5">
        <f>IF(C282="North",1,0)</f>
        <v>0</v>
      </c>
      <c r="N282" s="5">
        <f>IF(C282="South",1,0)</f>
        <v>1</v>
      </c>
      <c r="O282" s="5">
        <f>IF(C282="East",1,0)</f>
        <v>0</v>
      </c>
      <c r="P282" s="5">
        <f>IF(D282="Mall",1,0)</f>
        <v>0</v>
      </c>
      <c r="Q282" s="5">
        <f>IF(D282="High Street",1,0)</f>
        <v>0</v>
      </c>
      <c r="R282" s="5">
        <f>IF(D282="Airport",1,0)</f>
        <v>0</v>
      </c>
      <c r="S282" s="2">
        <v>109466.5</v>
      </c>
      <c r="T282" s="2">
        <v>651164.18000000005</v>
      </c>
      <c r="U282" s="12">
        <f>66915.46892
+(1.209928492*E282)
+(27.33619482*F282)
+(-41243.14883*G282)
+(3508.399163*H282)
+(3062.210286*I282)
+(-3438.10791*J282)
+(15157.28728*K282)
+(12509.46131*L282)
+(-15342.70531*M282)
+(-4201.853217*N282)
+(-25291.41891*O282)
+(32832.85351*P282)
+(20219.25907*Q282)
+(44695.0949*R282)</f>
        <v>697910.79858968267</v>
      </c>
      <c r="V282">
        <f>T282-U282</f>
        <v>-46746.618589682621</v>
      </c>
    </row>
    <row r="283" spans="1:22">
      <c r="A283" s="2" t="s">
        <v>40</v>
      </c>
      <c r="B283" s="3">
        <v>45689</v>
      </c>
      <c r="C283" s="2" t="s">
        <v>15</v>
      </c>
      <c r="D283" s="2" t="s">
        <v>16</v>
      </c>
      <c r="E283" s="2">
        <v>53762.92</v>
      </c>
      <c r="F283" s="2">
        <v>6821</v>
      </c>
      <c r="G283" s="2">
        <v>6.6000000000000003E-2</v>
      </c>
      <c r="H283" s="2">
        <v>19</v>
      </c>
      <c r="I283" s="2">
        <v>94.6</v>
      </c>
      <c r="J283" s="2">
        <v>7.03</v>
      </c>
      <c r="K283" s="2">
        <v>0</v>
      </c>
      <c r="L283" s="2">
        <v>4.4000000000000004</v>
      </c>
      <c r="M283" s="5">
        <f>IF(C283="North",1,0)</f>
        <v>0</v>
      </c>
      <c r="N283" s="5">
        <f>IF(C283="South",1,0)</f>
        <v>0</v>
      </c>
      <c r="O283" s="5">
        <f>IF(C283="East",1,0)</f>
        <v>1</v>
      </c>
      <c r="P283" s="5">
        <f>IF(D283="Mall",1,0)</f>
        <v>0</v>
      </c>
      <c r="Q283" s="5">
        <f>IF(D283="High Street",1,0)</f>
        <v>0</v>
      </c>
      <c r="R283" s="5">
        <f>IF(D283="Airport",1,0)</f>
        <v>0</v>
      </c>
      <c r="S283" s="2">
        <v>117090.02</v>
      </c>
      <c r="T283" s="2">
        <v>630829.93999999994</v>
      </c>
      <c r="U283" s="12">
        <f>66915.46892
+(1.209928492*E283)
+(27.33619482*F283)
+(-41243.14883*G283)
+(3508.399163*H283)
+(3062.210286*I283)
+(-3438.10791*J283)
+(15157.28728*K283)
+(12509.46131*L283)
+(-15342.70531*M283)
+(-4201.853217*N283)
+(-25291.41891*O283)
+(32832.85351*P283)
+(20219.25907*Q283)
+(44695.0949*R283)</f>
        <v>677627.8840848566</v>
      </c>
      <c r="V283">
        <f>T283-U283</f>
        <v>-46797.944084856659</v>
      </c>
    </row>
    <row r="284" spans="1:22">
      <c r="A284" s="2" t="s">
        <v>17</v>
      </c>
      <c r="B284" s="3">
        <v>45658</v>
      </c>
      <c r="C284" s="2" t="s">
        <v>15</v>
      </c>
      <c r="D284" s="2" t="s">
        <v>18</v>
      </c>
      <c r="E284" s="2">
        <v>48412.639999999999</v>
      </c>
      <c r="F284" s="2">
        <v>9545</v>
      </c>
      <c r="G284" s="2">
        <v>0.23100000000000001</v>
      </c>
      <c r="H284" s="2">
        <v>21</v>
      </c>
      <c r="I284" s="2">
        <v>97.6</v>
      </c>
      <c r="J284" s="2">
        <v>6.94</v>
      </c>
      <c r="K284" s="2">
        <v>1</v>
      </c>
      <c r="L284" s="2">
        <v>4.2</v>
      </c>
      <c r="M284" s="5">
        <f>IF(C284="North",1,0)</f>
        <v>0</v>
      </c>
      <c r="N284" s="5">
        <f>IF(C284="South",1,0)</f>
        <v>0</v>
      </c>
      <c r="O284" s="5">
        <f>IF(C284="East",1,0)</f>
        <v>1</v>
      </c>
      <c r="P284" s="5">
        <f>IF(D284="Mall",1,0)</f>
        <v>0</v>
      </c>
      <c r="Q284" s="5">
        <f>IF(D284="High Street",1,0)</f>
        <v>1</v>
      </c>
      <c r="R284" s="5">
        <f>IF(D284="Airport",1,0)</f>
        <v>0</v>
      </c>
      <c r="S284" s="2">
        <v>119208.17</v>
      </c>
      <c r="T284" s="2">
        <v>741341.44</v>
      </c>
      <c r="U284" s="12">
        <f>66915.46892
+(1.209928492*E284)
+(27.33619482*F284)
+(-41243.14883*G284)
+(3508.399163*H284)
+(3062.210286*I284)
+(-3438.10791*J284)
+(15157.28728*K284)
+(12509.46131*L284)
+(-15342.70531*M284)
+(-4201.853217*N284)
+(-25291.41891*O284)
+(32832.85351*P284)
+(20219.25907*Q284)
+(44695.0949*R284)</f>
        <v>788200.61598930892</v>
      </c>
      <c r="V284">
        <f>T284-U284</f>
        <v>-46859.175989308977</v>
      </c>
    </row>
    <row r="285" spans="1:22">
      <c r="A285" s="2" t="s">
        <v>72</v>
      </c>
      <c r="B285" s="3">
        <v>45658</v>
      </c>
      <c r="C285" s="2" t="s">
        <v>15</v>
      </c>
      <c r="D285" s="2" t="s">
        <v>21</v>
      </c>
      <c r="E285" s="2">
        <v>22312.93</v>
      </c>
      <c r="F285" s="2">
        <v>5955</v>
      </c>
      <c r="G285" s="2">
        <v>0.123</v>
      </c>
      <c r="H285" s="2">
        <v>13</v>
      </c>
      <c r="I285" s="2">
        <v>84.2</v>
      </c>
      <c r="J285" s="2">
        <v>0.41</v>
      </c>
      <c r="K285" s="2">
        <v>1</v>
      </c>
      <c r="L285" s="2">
        <v>4.5999999999999996</v>
      </c>
      <c r="M285" s="5">
        <f>IF(C285="North",1,0)</f>
        <v>0</v>
      </c>
      <c r="N285" s="5">
        <f>IF(C285="South",1,0)</f>
        <v>0</v>
      </c>
      <c r="O285" s="5">
        <f>IF(C285="East",1,0)</f>
        <v>1</v>
      </c>
      <c r="P285" s="5">
        <f>IF(D285="Mall",1,0)</f>
        <v>0</v>
      </c>
      <c r="Q285" s="5">
        <f>IF(D285="High Street",1,0)</f>
        <v>0</v>
      </c>
      <c r="R285" s="5">
        <f>IF(D285="Airport",1,0)</f>
        <v>1</v>
      </c>
      <c r="S285" s="2">
        <v>72861</v>
      </c>
      <c r="T285" s="2">
        <v>598904.9</v>
      </c>
      <c r="U285" s="12">
        <f>66915.46892
+(1.209928492*E285)
+(27.33619482*F285)
+(-41243.14883*G285)
+(3508.399163*H285)
+(3062.210286*I285)
+(-3438.10791*J285)
+(15157.28728*K285)
+(12509.46131*L285)
+(-15342.70531*M285)
+(-4201.853217*N285)
+(-25291.41891*O285)
+(32832.85351*P285)
+(20219.25907*Q285)
+(44695.0949*R285)</f>
        <v>645768.80776711146</v>
      </c>
      <c r="V285">
        <f>T285-U285</f>
        <v>-46863.907767111436</v>
      </c>
    </row>
    <row r="286" spans="1:22">
      <c r="A286" s="2" t="s">
        <v>62</v>
      </c>
      <c r="B286" s="3">
        <v>45658</v>
      </c>
      <c r="C286" s="2" t="s">
        <v>24</v>
      </c>
      <c r="D286" s="2" t="s">
        <v>18</v>
      </c>
      <c r="E286" s="2">
        <v>41443.410000000003</v>
      </c>
      <c r="F286" s="2">
        <v>7455</v>
      </c>
      <c r="G286" s="2">
        <v>0.17499999999999999</v>
      </c>
      <c r="H286" s="2">
        <v>16</v>
      </c>
      <c r="I286" s="2">
        <v>90.1</v>
      </c>
      <c r="J286" s="2">
        <v>4.05</v>
      </c>
      <c r="K286" s="2">
        <v>0</v>
      </c>
      <c r="L286" s="2">
        <v>4</v>
      </c>
      <c r="M286" s="5">
        <f>IF(C286="North",1,0)</f>
        <v>0</v>
      </c>
      <c r="N286" s="5">
        <f>IF(C286="South",1,0)</f>
        <v>1</v>
      </c>
      <c r="O286" s="5">
        <f>IF(C286="East",1,0)</f>
        <v>0</v>
      </c>
      <c r="P286" s="5">
        <f>IF(D286="Mall",1,0)</f>
        <v>0</v>
      </c>
      <c r="Q286" s="5">
        <f>IF(D286="High Street",1,0)</f>
        <v>1</v>
      </c>
      <c r="R286" s="5">
        <f>IF(D286="Airport",1,0)</f>
        <v>0</v>
      </c>
      <c r="S286" s="2">
        <v>109012.07</v>
      </c>
      <c r="T286" s="2">
        <v>650480.06000000006</v>
      </c>
      <c r="U286" s="12">
        <f>66915.46892
+(1.209928492*E286)
+(27.33619482*F286)
+(-41243.14883*G286)
+(3508.399163*H286)
+(3062.210286*I286)
+(-3438.10791*J286)
+(15157.28728*K286)
+(12509.46131*L286)
+(-15342.70531*M286)
+(-4201.853217*N286)
+(-25291.41891*O286)
+(32832.85351*P286)
+(20219.25907*Q286)
+(44695.0949*R286)</f>
        <v>697803.26025658776</v>
      </c>
      <c r="V286">
        <f>T286-U286</f>
        <v>-47323.200256587705</v>
      </c>
    </row>
    <row r="287" spans="1:22">
      <c r="A287" s="2" t="s">
        <v>79</v>
      </c>
      <c r="B287" s="3">
        <v>45658</v>
      </c>
      <c r="C287" s="2" t="s">
        <v>15</v>
      </c>
      <c r="D287" s="2" t="s">
        <v>18</v>
      </c>
      <c r="E287" s="2">
        <v>37324.230000000003</v>
      </c>
      <c r="F287" s="2">
        <v>5957</v>
      </c>
      <c r="G287" s="2">
        <v>7.0999999999999994E-2</v>
      </c>
      <c r="H287" s="2">
        <v>12</v>
      </c>
      <c r="I287" s="2">
        <v>85.9</v>
      </c>
      <c r="J287" s="2">
        <v>0.37</v>
      </c>
      <c r="K287" s="2">
        <v>0</v>
      </c>
      <c r="L287" s="2">
        <v>3.8</v>
      </c>
      <c r="M287" s="5">
        <f>IF(C287="North",1,0)</f>
        <v>0</v>
      </c>
      <c r="N287" s="5">
        <f>IF(C287="South",1,0)</f>
        <v>0</v>
      </c>
      <c r="O287" s="5">
        <f>IF(C287="East",1,0)</f>
        <v>1</v>
      </c>
      <c r="P287" s="5">
        <f>IF(D287="Mall",1,0)</f>
        <v>0</v>
      </c>
      <c r="Q287" s="5">
        <f>IF(D287="High Street",1,0)</f>
        <v>1</v>
      </c>
      <c r="R287" s="5">
        <f>IF(D287="Airport",1,0)</f>
        <v>0</v>
      </c>
      <c r="S287" s="2">
        <v>87342.25</v>
      </c>
      <c r="T287" s="2">
        <v>570963.31000000006</v>
      </c>
      <c r="U287" s="12">
        <f>66915.46892
+(1.209928492*E287)
+(27.33619482*F287)
+(-41243.14883*G287)
+(3508.399163*H287)
+(3062.210286*I287)
+(-3438.10791*J287)
+(15157.28728*K287)
+(12509.46131*L287)
+(-15342.70531*M287)
+(-4201.853217*N287)
+(-25291.41891*O287)
+(32832.85351*P287)
+(20219.25907*Q287)
+(44695.0949*R287)</f>
        <v>618324.9139494712</v>
      </c>
      <c r="V287">
        <f>T287-U287</f>
        <v>-47361.603949471144</v>
      </c>
    </row>
    <row r="288" spans="1:22">
      <c r="A288" s="2" t="s">
        <v>92</v>
      </c>
      <c r="B288" s="3">
        <v>45689</v>
      </c>
      <c r="C288" s="2" t="s">
        <v>24</v>
      </c>
      <c r="D288" s="2" t="s">
        <v>18</v>
      </c>
      <c r="E288" s="2">
        <v>34771.26</v>
      </c>
      <c r="F288" s="2">
        <v>4355</v>
      </c>
      <c r="G288" s="2">
        <v>5.0999999999999997E-2</v>
      </c>
      <c r="H288" s="2">
        <v>15</v>
      </c>
      <c r="I288" s="2">
        <v>87.9</v>
      </c>
      <c r="J288" s="2">
        <v>3.09</v>
      </c>
      <c r="K288" s="2">
        <v>0</v>
      </c>
      <c r="L288" s="2">
        <v>4</v>
      </c>
      <c r="M288" s="5">
        <f>IF(C288="North",1,0)</f>
        <v>0</v>
      </c>
      <c r="N288" s="5">
        <f>IF(C288="South",1,0)</f>
        <v>1</v>
      </c>
      <c r="O288" s="5">
        <f>IF(C288="East",1,0)</f>
        <v>0</v>
      </c>
      <c r="P288" s="5">
        <f>IF(D288="Mall",1,0)</f>
        <v>0</v>
      </c>
      <c r="Q288" s="5">
        <f>IF(D288="High Street",1,0)</f>
        <v>1</v>
      </c>
      <c r="R288" s="5">
        <f>IF(D288="Airport",1,0)</f>
        <v>0</v>
      </c>
      <c r="S288" s="2">
        <v>86475.51</v>
      </c>
      <c r="T288" s="2">
        <v>555557.77</v>
      </c>
      <c r="U288" s="12">
        <f>66915.46892
+(1.209928492*E288)
+(27.33619482*F288)
+(-41243.14883*G288)
+(3508.399163*H288)
+(3062.210286*I288)
+(-3438.10791*J288)
+(15157.28728*K288)
+(12509.46131*L288)
+(-15342.70531*M288)
+(-4201.853217*N288)
+(-25291.41891*O288)
+(32832.85351*P288)
+(20219.25907*Q288)
+(44695.0949*R288)</f>
        <v>603157.70418300992</v>
      </c>
      <c r="V288">
        <f>T288-U288</f>
        <v>-47599.9341830099</v>
      </c>
    </row>
    <row r="289" spans="1:22">
      <c r="A289" s="2" t="s">
        <v>52</v>
      </c>
      <c r="B289" s="3">
        <v>45717</v>
      </c>
      <c r="C289" s="2" t="s">
        <v>20</v>
      </c>
      <c r="D289" s="2" t="s">
        <v>18</v>
      </c>
      <c r="E289" s="2">
        <v>48396.13</v>
      </c>
      <c r="F289" s="2">
        <v>4423</v>
      </c>
      <c r="G289" s="2">
        <v>6.9000000000000006E-2</v>
      </c>
      <c r="H289" s="2">
        <v>15</v>
      </c>
      <c r="I289" s="2">
        <v>85.7</v>
      </c>
      <c r="J289" s="2">
        <v>1.88</v>
      </c>
      <c r="K289" s="2">
        <v>0</v>
      </c>
      <c r="L289" s="2">
        <v>3.9</v>
      </c>
      <c r="M289" s="5">
        <f>IF(C289="North",1,0)</f>
        <v>1</v>
      </c>
      <c r="N289" s="5">
        <f>IF(C289="South",1,0)</f>
        <v>0</v>
      </c>
      <c r="O289" s="5">
        <f>IF(C289="East",1,0)</f>
        <v>0</v>
      </c>
      <c r="P289" s="5">
        <f>IF(D289="Mall",1,0)</f>
        <v>0</v>
      </c>
      <c r="Q289" s="5">
        <f>IF(D289="High Street",1,0)</f>
        <v>1</v>
      </c>
      <c r="R289" s="5">
        <f>IF(D289="Airport",1,0)</f>
        <v>0</v>
      </c>
      <c r="S289" s="2">
        <v>76432.19</v>
      </c>
      <c r="T289" s="2">
        <v>557487.26</v>
      </c>
      <c r="U289" s="12">
        <f>66915.46892
+(1.209928492*E289)
+(27.33619482*F289)
+(-41243.14883*G289)
+(3508.399163*H289)
+(3062.210286*I289)
+(-3438.10791*J289)
+(15157.28728*K289)
+(12509.46131*L289)
+(-15342.70531*M289)
+(-4201.853217*N289)
+(-25291.41891*O289)
+(32832.85351*P289)
+(20219.25907*Q289)
+(44695.0949*R289)</f>
        <v>605790.75688252598</v>
      </c>
      <c r="V289">
        <f>T289-U289</f>
        <v>-48303.496882525971</v>
      </c>
    </row>
    <row r="290" spans="1:22">
      <c r="A290" s="2" t="s">
        <v>52</v>
      </c>
      <c r="B290" s="3">
        <v>45658</v>
      </c>
      <c r="C290" s="2" t="s">
        <v>20</v>
      </c>
      <c r="D290" s="2" t="s">
        <v>18</v>
      </c>
      <c r="E290" s="2">
        <v>43896.13</v>
      </c>
      <c r="F290" s="2">
        <v>3853</v>
      </c>
      <c r="G290" s="2">
        <v>8.7999999999999995E-2</v>
      </c>
      <c r="H290" s="2">
        <v>13</v>
      </c>
      <c r="I290" s="2">
        <v>83</v>
      </c>
      <c r="J290" s="2">
        <v>6.8</v>
      </c>
      <c r="K290" s="2">
        <v>0</v>
      </c>
      <c r="L290" s="2">
        <v>4.4000000000000004</v>
      </c>
      <c r="M290" s="5">
        <f>IF(C290="North",1,0)</f>
        <v>1</v>
      </c>
      <c r="N290" s="5">
        <f>IF(C290="South",1,0)</f>
        <v>0</v>
      </c>
      <c r="O290" s="5">
        <f>IF(C290="East",1,0)</f>
        <v>0</v>
      </c>
      <c r="P290" s="5">
        <f>IF(D290="Mall",1,0)</f>
        <v>0</v>
      </c>
      <c r="Q290" s="5">
        <f>IF(D290="High Street",1,0)</f>
        <v>1</v>
      </c>
      <c r="R290" s="5">
        <f>IF(D290="Airport",1,0)</f>
        <v>0</v>
      </c>
      <c r="S290" s="2">
        <v>85742.36</v>
      </c>
      <c r="T290" s="2">
        <v>509484.81</v>
      </c>
      <c r="U290" s="12">
        <f>66915.46892
+(1.209928492*E290)
+(27.33619482*F290)
+(-41243.14883*G290)
+(3508.399163*H290)
+(3062.210286*I290)
+(-3438.10791*J290)
+(15157.28728*K290)
+(12509.46131*L290)
+(-15342.70531*M290)
+(-4201.853217*N290)
+(-25291.41891*O290)
+(32832.85351*P290)
+(20219.25907*Q290)
+(44695.0949*R290)</f>
        <v>558035.30143295601</v>
      </c>
      <c r="V290">
        <f>T290-U290</f>
        <v>-48550.491432956012</v>
      </c>
    </row>
    <row r="291" spans="1:22">
      <c r="A291" s="2" t="s">
        <v>74</v>
      </c>
      <c r="B291" s="3">
        <v>45689</v>
      </c>
      <c r="C291" s="2" t="s">
        <v>15</v>
      </c>
      <c r="D291" s="2" t="s">
        <v>18</v>
      </c>
      <c r="E291" s="2">
        <v>62949.7</v>
      </c>
      <c r="F291" s="2">
        <v>9458</v>
      </c>
      <c r="G291" s="2">
        <v>0.17100000000000001</v>
      </c>
      <c r="H291" s="2">
        <v>19</v>
      </c>
      <c r="I291" s="2">
        <v>84.9</v>
      </c>
      <c r="J291" s="2">
        <v>5.09</v>
      </c>
      <c r="K291" s="2">
        <v>0</v>
      </c>
      <c r="L291" s="2">
        <v>3.3</v>
      </c>
      <c r="M291" s="5">
        <f>IF(C291="North",1,0)</f>
        <v>0</v>
      </c>
      <c r="N291" s="5">
        <f>IF(C291="South",1,0)</f>
        <v>0</v>
      </c>
      <c r="O291" s="5">
        <f>IF(C291="East",1,0)</f>
        <v>1</v>
      </c>
      <c r="P291" s="5">
        <f>IF(D291="Mall",1,0)</f>
        <v>0</v>
      </c>
      <c r="Q291" s="5">
        <f>IF(D291="High Street",1,0)</f>
        <v>1</v>
      </c>
      <c r="R291" s="5">
        <f>IF(D291="Airport",1,0)</f>
        <v>0</v>
      </c>
      <c r="S291" s="2">
        <v>159074.14000000001</v>
      </c>
      <c r="T291" s="2">
        <v>691288.19</v>
      </c>
      <c r="U291" s="12">
        <f>66915.46892
+(1.209928492*E291)
+(27.33619482*F291)
+(-41243.14883*G291)
+(3508.399163*H291)
+(3062.210286*I291)
+(-3438.10791*J291)
+(15157.28728*K291)
+(12509.46131*L291)
+(-15342.70531*M291)
+(-4201.853217*N291)
+(-25291.41891*O291)
+(32832.85351*P291)
+(20219.25907*Q291)
+(44695.0949*R291)</f>
        <v>739923.58726998232</v>
      </c>
      <c r="V291">
        <f>T291-U291</f>
        <v>-48635.397269982379</v>
      </c>
    </row>
    <row r="292" spans="1:22">
      <c r="A292" s="2" t="s">
        <v>73</v>
      </c>
      <c r="B292" s="3">
        <v>45717</v>
      </c>
      <c r="C292" s="2" t="s">
        <v>15</v>
      </c>
      <c r="D292" s="2" t="s">
        <v>28</v>
      </c>
      <c r="E292" s="2">
        <v>37983.35</v>
      </c>
      <c r="F292" s="2">
        <v>9283</v>
      </c>
      <c r="G292" s="2">
        <v>0.14899999999999999</v>
      </c>
      <c r="H292" s="2">
        <v>19</v>
      </c>
      <c r="I292" s="2">
        <v>83.2</v>
      </c>
      <c r="J292" s="2">
        <v>3.82</v>
      </c>
      <c r="K292" s="2">
        <v>0</v>
      </c>
      <c r="L292" s="2">
        <v>3.7</v>
      </c>
      <c r="M292" s="5">
        <f>IF(C292="North",1,0)</f>
        <v>0</v>
      </c>
      <c r="N292" s="5">
        <f>IF(C292="South",1,0)</f>
        <v>0</v>
      </c>
      <c r="O292" s="5">
        <f>IF(C292="East",1,0)</f>
        <v>1</v>
      </c>
      <c r="P292" s="5">
        <f>IF(D292="Mall",1,0)</f>
        <v>1</v>
      </c>
      <c r="Q292" s="5">
        <f>IF(D292="High Street",1,0)</f>
        <v>0</v>
      </c>
      <c r="R292" s="5">
        <f>IF(D292="Airport",1,0)</f>
        <v>0</v>
      </c>
      <c r="S292" s="2">
        <v>71003.28</v>
      </c>
      <c r="T292" s="2">
        <v>671868.59</v>
      </c>
      <c r="U292" s="12">
        <f>66915.46892
+(1.209928492*E292)
+(27.33619482*F292)
+(-41243.14883*G292)
+(3508.399163*H292)
+(3062.210286*I292)
+(-3438.10791*J292)
+(15157.28728*K292)
+(12509.46131*L292)
+(-15342.70531*M292)
+(-4201.853217*N292)
+(-25291.41891*O292)
+(32832.85351*P292)
+(20219.25907*Q292)
+(44695.0949*R292)</f>
        <v>722617.62276799837</v>
      </c>
      <c r="V292">
        <f>T292-U292</f>
        <v>-50749.032767998404</v>
      </c>
    </row>
    <row r="293" spans="1:22">
      <c r="A293" s="2" t="s">
        <v>64</v>
      </c>
      <c r="B293" s="3">
        <v>45689</v>
      </c>
      <c r="C293" s="2" t="s">
        <v>15</v>
      </c>
      <c r="D293" s="2" t="s">
        <v>16</v>
      </c>
      <c r="E293" s="2">
        <v>32834.480000000003</v>
      </c>
      <c r="F293" s="2">
        <v>7576</v>
      </c>
      <c r="G293" s="2">
        <v>9.9000000000000005E-2</v>
      </c>
      <c r="H293" s="2">
        <v>15</v>
      </c>
      <c r="I293" s="2">
        <v>84.1</v>
      </c>
      <c r="J293" s="2">
        <v>3.48</v>
      </c>
      <c r="K293" s="2">
        <v>0</v>
      </c>
      <c r="L293" s="2">
        <v>5</v>
      </c>
      <c r="M293" s="5">
        <f>IF(C293="North",1,0)</f>
        <v>0</v>
      </c>
      <c r="N293" s="5">
        <f>IF(C293="South",1,0)</f>
        <v>0</v>
      </c>
      <c r="O293" s="5">
        <f>IF(C293="East",1,0)</f>
        <v>1</v>
      </c>
      <c r="P293" s="5">
        <f>IF(D293="Mall",1,0)</f>
        <v>0</v>
      </c>
      <c r="Q293" s="5">
        <f>IF(D293="High Street",1,0)</f>
        <v>0</v>
      </c>
      <c r="R293" s="5">
        <f>IF(D293="Airport",1,0)</f>
        <v>0</v>
      </c>
      <c r="S293" s="2">
        <v>106648.14</v>
      </c>
      <c r="T293" s="2">
        <v>593637.14</v>
      </c>
      <c r="U293" s="12">
        <f>66915.46892
+(1.209928492*E293)
+(27.33619482*F293)
+(-41243.14883*G293)
+(3508.399163*H293)
+(3062.210286*I293)
+(-3438.10791*J293)
+(15157.28728*K293)
+(12509.46131*L293)
+(-15342.70531*M293)
+(-4201.853217*N293)
+(-25291.41891*O293)
+(32832.85351*P293)
+(20219.25907*Q293)
+(44695.0949*R293)</f>
        <v>645107.92662495398</v>
      </c>
      <c r="V293">
        <f>T293-U293</f>
        <v>-51470.786624953966</v>
      </c>
    </row>
    <row r="294" spans="1:22">
      <c r="A294" s="2" t="s">
        <v>34</v>
      </c>
      <c r="B294" s="3">
        <v>45658</v>
      </c>
      <c r="C294" s="2" t="s">
        <v>20</v>
      </c>
      <c r="D294" s="2" t="s">
        <v>28</v>
      </c>
      <c r="E294" s="2">
        <v>46624.05</v>
      </c>
      <c r="F294" s="2">
        <v>5104</v>
      </c>
      <c r="G294" s="2">
        <v>0.109</v>
      </c>
      <c r="H294" s="2">
        <v>11</v>
      </c>
      <c r="I294" s="2">
        <v>97.3</v>
      </c>
      <c r="J294" s="2">
        <v>3.49</v>
      </c>
      <c r="K294" s="2">
        <v>1</v>
      </c>
      <c r="L294" s="2">
        <v>4.7</v>
      </c>
      <c r="M294" s="5">
        <f>IF(C294="North",1,0)</f>
        <v>1</v>
      </c>
      <c r="N294" s="5">
        <f>IF(C294="South",1,0)</f>
        <v>0</v>
      </c>
      <c r="O294" s="5">
        <f>IF(C294="East",1,0)</f>
        <v>0</v>
      </c>
      <c r="P294" s="5">
        <f>IF(D294="Mall",1,0)</f>
        <v>1</v>
      </c>
      <c r="Q294" s="5">
        <f>IF(D294="High Street",1,0)</f>
        <v>0</v>
      </c>
      <c r="R294" s="5">
        <f>IF(D294="Airport",1,0)</f>
        <v>0</v>
      </c>
      <c r="S294" s="2">
        <v>109978.35</v>
      </c>
      <c r="T294" s="2">
        <v>622811.74</v>
      </c>
      <c r="U294" s="12">
        <f>66915.46892
+(1.209928492*E294)
+(27.33619482*F294)
+(-41243.14883*G294)
+(3508.399163*H294)
+(3062.210286*I294)
+(-3438.10791*J294)
+(15157.28728*K294)
+(12509.46131*L294)
+(-15342.70531*M294)
+(-4201.853217*N294)
+(-25291.41891*O294)
+(32832.85351*P294)
+(20219.25907*Q294)
+(44695.0949*R294)</f>
        <v>674344.02921814274</v>
      </c>
      <c r="V294">
        <f>T294-U294</f>
        <v>-51532.289218142745</v>
      </c>
    </row>
    <row r="295" spans="1:22">
      <c r="A295" s="2" t="s">
        <v>30</v>
      </c>
      <c r="B295" s="3">
        <v>45689</v>
      </c>
      <c r="C295" s="2" t="s">
        <v>20</v>
      </c>
      <c r="D295" s="2" t="s">
        <v>16</v>
      </c>
      <c r="E295" s="2">
        <v>73771.91</v>
      </c>
      <c r="F295" s="2">
        <v>11695</v>
      </c>
      <c r="G295" s="2">
        <v>7.0000000000000007E-2</v>
      </c>
      <c r="H295" s="2">
        <v>25</v>
      </c>
      <c r="I295" s="2">
        <v>84.7</v>
      </c>
      <c r="J295" s="2">
        <v>0.62</v>
      </c>
      <c r="K295" s="2">
        <v>0</v>
      </c>
      <c r="L295" s="5">
        <v>3.9</v>
      </c>
      <c r="M295" s="5">
        <f>IF(C295="North",1,0)</f>
        <v>1</v>
      </c>
      <c r="N295" s="5">
        <f>IF(C295="South",1,0)</f>
        <v>0</v>
      </c>
      <c r="O295" s="5">
        <f>IF(C295="East",1,0)</f>
        <v>0</v>
      </c>
      <c r="P295" s="5">
        <f>IF(D295="Mall",1,0)</f>
        <v>0</v>
      </c>
      <c r="Q295" s="5">
        <f>IF(D295="High Street",1,0)</f>
        <v>0</v>
      </c>
      <c r="R295" s="5">
        <f>IF(D295="Airport",1,0)</f>
        <v>0</v>
      </c>
      <c r="S295" s="2">
        <v>164974.41</v>
      </c>
      <c r="T295" s="2">
        <v>799477.76000000001</v>
      </c>
      <c r="U295" s="12">
        <f>66915.46892
+(1.209928492*E295)
+(27.33619482*F295)
+(-41243.14883*G295)
+(3508.399163*H295)
+(3062.210286*I295)
+(-3438.10791*J295)
+(15157.28728*K295)
+(12509.46131*L295)
+(-15342.70531*M295)
+(-4201.853217*N295)
+(-25291.41891*O295)
+(32832.85351*P295)
+(20219.25907*Q295)
+(44695.0949*R295)</f>
        <v>851375.73993405979</v>
      </c>
      <c r="V295">
        <f>T295-U295</f>
        <v>-51897.979934059782</v>
      </c>
    </row>
    <row r="296" spans="1:22">
      <c r="A296" s="2" t="s">
        <v>55</v>
      </c>
      <c r="B296" s="3">
        <v>45658</v>
      </c>
      <c r="C296" s="2" t="s">
        <v>20</v>
      </c>
      <c r="D296" s="2" t="s">
        <v>18</v>
      </c>
      <c r="E296" s="2">
        <v>70276.28</v>
      </c>
      <c r="F296" s="2">
        <v>3043</v>
      </c>
      <c r="G296" s="2">
        <v>7.9000000000000001E-2</v>
      </c>
      <c r="H296" s="2">
        <v>9</v>
      </c>
      <c r="I296" s="2">
        <v>87.9</v>
      </c>
      <c r="J296" s="2">
        <v>3.77</v>
      </c>
      <c r="K296" s="2">
        <v>0</v>
      </c>
      <c r="L296" s="2">
        <v>4.4000000000000004</v>
      </c>
      <c r="M296" s="5">
        <f>IF(C296="North",1,0)</f>
        <v>1</v>
      </c>
      <c r="N296" s="5">
        <f>IF(C296="South",1,0)</f>
        <v>0</v>
      </c>
      <c r="O296" s="5">
        <f>IF(C296="East",1,0)</f>
        <v>0</v>
      </c>
      <c r="P296" s="5">
        <f>IF(D296="Mall",1,0)</f>
        <v>0</v>
      </c>
      <c r="Q296" s="5">
        <f>IF(D296="High Street",1,0)</f>
        <v>1</v>
      </c>
      <c r="R296" s="5">
        <f>IF(D296="Airport",1,0)</f>
        <v>0</v>
      </c>
      <c r="S296" s="2">
        <v>84197.87</v>
      </c>
      <c r="T296" s="2">
        <v>527300.13</v>
      </c>
      <c r="U296" s="12">
        <f>66915.46892
+(1.209928492*E296)
+(27.33619482*F296)
+(-41243.14883*G296)
+(3508.399163*H296)
+(3062.210286*I296)
+(-3438.10791*J296)
+(15157.28728*K296)
+(12509.46131*L296)
+(-15342.70531*M296)
+(-4201.853217*N296)
+(-25291.41891*O296)
+(32832.85351*P296)
+(20219.25907*Q296)
+(44695.0949*R296)</f>
        <v>579570.96779315977</v>
      </c>
      <c r="V296">
        <f>T296-U296</f>
        <v>-52270.837793159764</v>
      </c>
    </row>
    <row r="297" spans="1:22">
      <c r="A297" s="2" t="s">
        <v>98</v>
      </c>
      <c r="B297" s="3">
        <v>45689</v>
      </c>
      <c r="C297" s="2" t="s">
        <v>24</v>
      </c>
      <c r="D297" s="2" t="s">
        <v>16</v>
      </c>
      <c r="E297" s="2">
        <v>46146.239999999998</v>
      </c>
      <c r="F297" s="2">
        <v>5804</v>
      </c>
      <c r="G297" s="2">
        <v>4.7E-2</v>
      </c>
      <c r="H297" s="2">
        <v>16</v>
      </c>
      <c r="I297" s="2">
        <v>86.9</v>
      </c>
      <c r="J297" s="2">
        <v>15.82</v>
      </c>
      <c r="K297" s="2">
        <v>0</v>
      </c>
      <c r="L297" s="2">
        <v>3.8</v>
      </c>
      <c r="M297" s="5">
        <f>IF(C297="North",1,0)</f>
        <v>0</v>
      </c>
      <c r="N297" s="5">
        <f>IF(C297="South",1,0)</f>
        <v>1</v>
      </c>
      <c r="O297" s="5">
        <f>IF(C297="East",1,0)</f>
        <v>0</v>
      </c>
      <c r="P297" s="5">
        <f>IF(D297="Mall",1,0)</f>
        <v>0</v>
      </c>
      <c r="Q297" s="5">
        <f>IF(D297="High Street",1,0)</f>
        <v>0</v>
      </c>
      <c r="R297" s="5">
        <f>IF(D297="Airport",1,0)</f>
        <v>0</v>
      </c>
      <c r="S297" s="2">
        <v>87605.62</v>
      </c>
      <c r="T297" s="2">
        <v>538376</v>
      </c>
      <c r="U297" s="12">
        <f>66915.46892
+(1.209928492*E297)
+(27.33619482*F297)
+(-41243.14883*G297)
+(3508.399163*H297)
+(3062.210286*I297)
+(-3438.10791*J297)
+(15157.28728*K297)
+(12509.46131*L297)
+(-15342.70531*M297)
+(-4201.853217*N297)
+(-25291.41891*O297)
+(32832.85351*P297)
+(20219.25907*Q297)
+(44695.0949*R297)</f>
        <v>590653.65932114015</v>
      </c>
      <c r="V297">
        <f>T297-U297</f>
        <v>-52277.659321140149</v>
      </c>
    </row>
    <row r="298" spans="1:22">
      <c r="A298" s="2" t="s">
        <v>72</v>
      </c>
      <c r="B298" s="3">
        <v>45717</v>
      </c>
      <c r="C298" s="2" t="s">
        <v>15</v>
      </c>
      <c r="D298" s="2" t="s">
        <v>21</v>
      </c>
      <c r="E298" s="2">
        <v>35203.230000000003</v>
      </c>
      <c r="F298" s="2">
        <v>6896</v>
      </c>
      <c r="G298" s="2">
        <v>3.2000000000000001E-2</v>
      </c>
      <c r="H298" s="2">
        <v>14</v>
      </c>
      <c r="I298" s="2">
        <v>80.8</v>
      </c>
      <c r="J298" s="2">
        <v>8.44</v>
      </c>
      <c r="K298" s="2">
        <v>1</v>
      </c>
      <c r="L298" s="2">
        <v>5</v>
      </c>
      <c r="M298" s="5">
        <f>IF(C298="North",1,0)</f>
        <v>0</v>
      </c>
      <c r="N298" s="5">
        <f>IF(C298="South",1,0)</f>
        <v>0</v>
      </c>
      <c r="O298" s="5">
        <f>IF(C298="East",1,0)</f>
        <v>1</v>
      </c>
      <c r="P298" s="5">
        <f>IF(D298="Mall",1,0)</f>
        <v>0</v>
      </c>
      <c r="Q298" s="5">
        <f>IF(D298="High Street",1,0)</f>
        <v>0</v>
      </c>
      <c r="R298" s="5">
        <f>IF(D298="Airport",1,0)</f>
        <v>1</v>
      </c>
      <c r="S298" s="2">
        <v>98558.49</v>
      </c>
      <c r="T298" s="2">
        <v>607084.92000000004</v>
      </c>
      <c r="U298" s="12">
        <f>66915.46892
+(1.209928492*E298)
+(27.33619482*F298)
+(-41243.14883*G298)
+(3508.399163*H298)
+(3062.210286*I298)
+(-3438.10791*J298)
+(15157.28728*K298)
+(12509.46131*L298)
+(-15342.70531*M298)
+(-4201.853217*N298)
+(-25291.41891*O298)
+(32832.85351*P298)
+(20219.25907*Q298)
+(44695.0949*R298)</f>
        <v>661334.29707398918</v>
      </c>
      <c r="V298">
        <f>T298-U298</f>
        <v>-54249.377073989133</v>
      </c>
    </row>
    <row r="299" spans="1:22">
      <c r="A299" s="2" t="s">
        <v>50</v>
      </c>
      <c r="B299" s="3">
        <v>45717</v>
      </c>
      <c r="C299" s="2" t="s">
        <v>27</v>
      </c>
      <c r="D299" s="2" t="s">
        <v>28</v>
      </c>
      <c r="E299" s="2">
        <v>33605.18</v>
      </c>
      <c r="F299" s="2">
        <v>9225</v>
      </c>
      <c r="G299" s="2">
        <v>0.159</v>
      </c>
      <c r="H299" s="2">
        <v>23</v>
      </c>
      <c r="I299" s="2">
        <v>88.4</v>
      </c>
      <c r="J299" s="2">
        <v>5.91</v>
      </c>
      <c r="K299" s="2">
        <v>0</v>
      </c>
      <c r="L299" s="2">
        <v>2.8</v>
      </c>
      <c r="M299" s="5">
        <f>IF(C299="North",1,0)</f>
        <v>0</v>
      </c>
      <c r="N299" s="5">
        <f>IF(C299="South",1,0)</f>
        <v>0</v>
      </c>
      <c r="O299" s="5">
        <f>IF(C299="East",1,0)</f>
        <v>0</v>
      </c>
      <c r="P299" s="5">
        <f>IF(D299="Mall",1,0)</f>
        <v>1</v>
      </c>
      <c r="Q299" s="5">
        <f>IF(D299="High Street",1,0)</f>
        <v>0</v>
      </c>
      <c r="R299" s="5">
        <f>IF(D299="Airport",1,0)</f>
        <v>0</v>
      </c>
      <c r="S299" s="2">
        <v>128208.33</v>
      </c>
      <c r="T299" s="2">
        <v>697287.9</v>
      </c>
      <c r="U299" s="12">
        <f>66915.46892
+(1.209928492*E299)
+(27.33619482*F299)
+(-41243.14883*G299)
+(3508.399163*H299)
+(3062.210286*I299)
+(-3438.10791*J299)
+(15157.28728*K299)
+(12509.46131*L299)
+(-15342.70531*M299)
+(-4201.853217*N299)
+(-25291.41891*O299)
+(32832.85351*P299)
+(20219.25907*Q299)
+(44695.0949*R299)</f>
        <v>752126.76769261854</v>
      </c>
      <c r="V299">
        <f>T299-U299</f>
        <v>-54838.867692618514</v>
      </c>
    </row>
    <row r="300" spans="1:22">
      <c r="A300" s="2" t="s">
        <v>99</v>
      </c>
      <c r="B300" s="3">
        <v>45689</v>
      </c>
      <c r="C300" s="2" t="s">
        <v>24</v>
      </c>
      <c r="D300" s="2" t="s">
        <v>18</v>
      </c>
      <c r="E300" s="2">
        <v>23702.38</v>
      </c>
      <c r="F300" s="2">
        <v>5285</v>
      </c>
      <c r="G300" s="2">
        <v>0.16700000000000001</v>
      </c>
      <c r="H300" s="2">
        <v>14</v>
      </c>
      <c r="I300" s="2">
        <v>79.7</v>
      </c>
      <c r="J300" s="2">
        <v>1.1000000000000001</v>
      </c>
      <c r="K300" s="2">
        <v>0</v>
      </c>
      <c r="L300" s="2">
        <v>4.3</v>
      </c>
      <c r="M300" s="5">
        <f>IF(C300="North",1,0)</f>
        <v>0</v>
      </c>
      <c r="N300" s="5">
        <f>IF(C300="South",1,0)</f>
        <v>1</v>
      </c>
      <c r="O300" s="5">
        <f>IF(C300="East",1,0)</f>
        <v>0</v>
      </c>
      <c r="P300" s="5">
        <f>IF(D300="Mall",1,0)</f>
        <v>0</v>
      </c>
      <c r="Q300" s="5">
        <f>IF(D300="High Street",1,0)</f>
        <v>1</v>
      </c>
      <c r="R300" s="5">
        <f>IF(D300="Airport",1,0)</f>
        <v>0</v>
      </c>
      <c r="S300" s="2">
        <v>92752.94</v>
      </c>
      <c r="T300" s="2">
        <v>536524.84</v>
      </c>
      <c r="U300" s="12">
        <f>66915.46892
+(1.209928492*E300)
+(27.33619482*F300)
+(-41243.14883*G300)
+(3508.399163*H300)
+(3062.210286*I300)
+(-3438.10791*J300)
+(15157.28728*K300)
+(12509.46131*L300)
+(-15342.70531*M300)
+(-4201.853217*N300)
+(-25291.41891*O300)
+(32832.85351*P300)
+(20219.25907*Q300)
+(44695.0949*R300)</f>
        <v>592379.75644050096</v>
      </c>
      <c r="V300">
        <f>T300-U300</f>
        <v>-55854.916440500994</v>
      </c>
    </row>
    <row r="301" spans="1:22">
      <c r="A301" s="2" t="s">
        <v>29</v>
      </c>
      <c r="B301" s="3">
        <v>45658</v>
      </c>
      <c r="C301" s="2" t="s">
        <v>15</v>
      </c>
      <c r="D301" s="2" t="s">
        <v>16</v>
      </c>
      <c r="E301" s="2">
        <v>68600.62</v>
      </c>
      <c r="F301" s="2">
        <v>3988</v>
      </c>
      <c r="G301" s="2">
        <v>0.124</v>
      </c>
      <c r="H301" s="2">
        <v>11</v>
      </c>
      <c r="I301" s="2">
        <v>85</v>
      </c>
      <c r="J301" s="2">
        <v>0.48</v>
      </c>
      <c r="K301" s="2">
        <v>0</v>
      </c>
      <c r="L301" s="2">
        <v>3.6</v>
      </c>
      <c r="M301" s="5">
        <f>IF(C301="North",1,0)</f>
        <v>0</v>
      </c>
      <c r="N301" s="5">
        <f>IF(C301="South",1,0)</f>
        <v>0</v>
      </c>
      <c r="O301" s="5">
        <f>IF(C301="East",1,0)</f>
        <v>1</v>
      </c>
      <c r="P301" s="5">
        <f>IF(D301="Mall",1,0)</f>
        <v>0</v>
      </c>
      <c r="Q301" s="5">
        <f>IF(D301="High Street",1,0)</f>
        <v>0</v>
      </c>
      <c r="R301" s="5">
        <f>IF(D301="Airport",1,0)</f>
        <v>0</v>
      </c>
      <c r="S301" s="2">
        <v>72774.44</v>
      </c>
      <c r="T301" s="2">
        <v>511844.41</v>
      </c>
      <c r="U301" s="12">
        <f>66915.46892
+(1.209928492*E301)
+(27.33619482*F301)
+(-41243.14883*G301)
+(3508.399163*H301)
+(3062.210286*I301)
+(-3438.10791*J301)
+(15157.28728*K301)
+(12509.46131*L301)
+(-15342.70531*M301)
+(-4201.853217*N301)
+(-25291.41891*O301)
+(32832.85351*P301)
+(20219.25907*Q301)
+(44695.0949*R301)</f>
        <v>570792.52322630514</v>
      </c>
      <c r="V301">
        <f>T301-U301</f>
        <v>-58948.11322630517</v>
      </c>
    </row>
    <row r="302" spans="1:22">
      <c r="A302" s="2" t="s">
        <v>69</v>
      </c>
      <c r="B302" s="3">
        <v>45748</v>
      </c>
      <c r="C302" s="2" t="s">
        <v>15</v>
      </c>
      <c r="D302" s="2" t="s">
        <v>18</v>
      </c>
      <c r="E302" s="2">
        <v>54966.18</v>
      </c>
      <c r="F302" s="2">
        <v>4423</v>
      </c>
      <c r="G302" s="2">
        <v>0.186</v>
      </c>
      <c r="H302" s="2">
        <v>13</v>
      </c>
      <c r="I302" s="2">
        <v>88.7</v>
      </c>
      <c r="J302" s="2">
        <v>0.2</v>
      </c>
      <c r="K302" s="2">
        <v>0</v>
      </c>
      <c r="L302" s="2">
        <v>4.4000000000000004</v>
      </c>
      <c r="M302" s="5">
        <f>IF(C302="North",1,0)</f>
        <v>0</v>
      </c>
      <c r="N302" s="5">
        <f>IF(C302="South",1,0)</f>
        <v>0</v>
      </c>
      <c r="O302" s="5">
        <f>IF(C302="East",1,0)</f>
        <v>1</v>
      </c>
      <c r="P302" s="5">
        <f>IF(D302="Mall",1,0)</f>
        <v>0</v>
      </c>
      <c r="Q302" s="5">
        <f>IF(D302="High Street",1,0)</f>
        <v>1</v>
      </c>
      <c r="R302" s="5">
        <f>IF(D302="Airport",1,0)</f>
        <v>0</v>
      </c>
      <c r="S302" s="2">
        <v>81101.62</v>
      </c>
      <c r="T302" s="2">
        <v>554012.06999999995</v>
      </c>
      <c r="U302" s="12">
        <f>66915.46892
+(1.209928492*E302)
+(27.33619482*F302)
+(-41243.14883*G302)
+(3508.399163*H302)
+(3062.210286*I302)
+(-3438.10791*J302)
+(15157.28728*K302)
+(12509.46131*L302)
+(-15342.70531*M302)
+(-4201.853217*N302)
+(-25291.41891*O302)
+(32832.85351*P302)
+(20219.25907*Q302)
+(44695.0949*R302)</f>
        <v>613166.47003408044</v>
      </c>
      <c r="V302">
        <f>T302-U302</f>
        <v>-59154.400034080492</v>
      </c>
    </row>
    <row r="303" spans="1:22">
      <c r="A303" s="2" t="s">
        <v>101</v>
      </c>
      <c r="B303" s="3">
        <v>45658</v>
      </c>
      <c r="C303" s="2" t="s">
        <v>15</v>
      </c>
      <c r="D303" s="2" t="s">
        <v>16</v>
      </c>
      <c r="E303" s="2">
        <v>76614.320000000007</v>
      </c>
      <c r="F303" s="2">
        <v>5639</v>
      </c>
      <c r="G303" s="2">
        <v>0.17399999999999999</v>
      </c>
      <c r="H303" s="2">
        <v>15</v>
      </c>
      <c r="I303" s="2">
        <v>92.9</v>
      </c>
      <c r="J303" s="2">
        <v>1.02</v>
      </c>
      <c r="K303" s="2">
        <v>1</v>
      </c>
      <c r="L303" s="2">
        <v>4</v>
      </c>
      <c r="M303" s="5">
        <f>IF(C303="North",1,0)</f>
        <v>0</v>
      </c>
      <c r="N303" s="5">
        <f>IF(C303="South",1,0)</f>
        <v>0</v>
      </c>
      <c r="O303" s="5">
        <f>IF(C303="East",1,0)</f>
        <v>1</v>
      </c>
      <c r="P303" s="5">
        <f>IF(D303="Mall",1,0)</f>
        <v>0</v>
      </c>
      <c r="Q303" s="5">
        <f>IF(D303="High Street",1,0)</f>
        <v>0</v>
      </c>
      <c r="R303" s="5">
        <f>IF(D303="Airport",1,0)</f>
        <v>0</v>
      </c>
      <c r="S303" s="2">
        <v>91365.64</v>
      </c>
      <c r="T303" s="2">
        <v>620264.19999999995</v>
      </c>
      <c r="U303" s="12">
        <f>66915.46892
+(1.209928492*E303)
+(27.33619482*F303)
+(-41243.14883*G303)
+(3508.399163*H303)
+(3062.210286*I303)
+(-3438.10791*J303)
+(15157.28728*K303)
+(12509.46131*L303)
+(-15342.70531*M303)
+(-4201.853217*N303)
+(-25291.41891*O303)
+(32832.85351*P303)
+(20219.25907*Q303)
+(44695.0949*R303)</f>
        <v>680087.97883296548</v>
      </c>
      <c r="V303">
        <f>T303-U303</f>
        <v>-59823.77883296553</v>
      </c>
    </row>
    <row r="304" spans="1:22">
      <c r="A304" s="2" t="s">
        <v>36</v>
      </c>
      <c r="B304" s="3">
        <v>45717</v>
      </c>
      <c r="C304" s="2" t="s">
        <v>15</v>
      </c>
      <c r="D304" s="2" t="s">
        <v>21</v>
      </c>
      <c r="E304" s="2">
        <v>118910.48</v>
      </c>
      <c r="F304" s="2">
        <v>4022</v>
      </c>
      <c r="G304" s="2">
        <v>0.13700000000000001</v>
      </c>
      <c r="H304" s="2">
        <v>11</v>
      </c>
      <c r="I304" s="2">
        <v>87.1</v>
      </c>
      <c r="J304" s="2">
        <v>0.2</v>
      </c>
      <c r="K304" s="2">
        <v>0</v>
      </c>
      <c r="L304" s="2">
        <v>3.1</v>
      </c>
      <c r="M304" s="5">
        <f>IF(C304="North",1,0)</f>
        <v>0</v>
      </c>
      <c r="N304" s="5">
        <f>IF(C304="South",1,0)</f>
        <v>0</v>
      </c>
      <c r="O304" s="5">
        <f>IF(C304="East",1,0)</f>
        <v>1</v>
      </c>
      <c r="P304" s="5">
        <f>IF(D304="Mall",1,0)</f>
        <v>0</v>
      </c>
      <c r="Q304" s="5">
        <f>IF(D304="High Street",1,0)</f>
        <v>0</v>
      </c>
      <c r="R304" s="5">
        <f>IF(D304="Airport",1,0)</f>
        <v>1</v>
      </c>
      <c r="S304" s="2">
        <v>117782</v>
      </c>
      <c r="T304" s="2">
        <v>617291.15</v>
      </c>
      <c r="U304" s="12">
        <f>66915.46892
+(1.209928492*E304)
+(27.33619482*F304)
+(-41243.14883*G304)
+(3508.399163*H304)
+(3062.210286*I304)
+(-3438.10791*J304)
+(15157.28728*K304)
+(12509.46131*L304)
+(-15342.70531*M304)
+(-4201.853217*N304)
+(-25291.41891*O304)
+(32832.85351*P304)
+(20219.25907*Q304)
+(44695.0949*R304)</f>
        <v>677890.80201832601</v>
      </c>
      <c r="V304">
        <f>T304-U304</f>
        <v>-60599.652018325985</v>
      </c>
    </row>
    <row r="305" spans="1:22">
      <c r="A305" s="2" t="s">
        <v>55</v>
      </c>
      <c r="B305" s="3">
        <v>45689</v>
      </c>
      <c r="C305" s="2" t="s">
        <v>20</v>
      </c>
      <c r="D305" s="2" t="s">
        <v>18</v>
      </c>
      <c r="E305" s="2">
        <v>22071.64</v>
      </c>
      <c r="F305" s="2">
        <v>1814</v>
      </c>
      <c r="G305" s="2">
        <v>0.19600000000000001</v>
      </c>
      <c r="H305" s="2">
        <v>8</v>
      </c>
      <c r="I305" s="2">
        <v>81.099999999999994</v>
      </c>
      <c r="J305" s="2">
        <v>0.78</v>
      </c>
      <c r="K305" s="2">
        <v>0</v>
      </c>
      <c r="L305" s="5">
        <v>3.9</v>
      </c>
      <c r="M305" s="5">
        <f>IF(C305="North",1,0)</f>
        <v>1</v>
      </c>
      <c r="N305" s="5">
        <f>IF(C305="South",1,0)</f>
        <v>0</v>
      </c>
      <c r="O305" s="5">
        <f>IF(C305="East",1,0)</f>
        <v>0</v>
      </c>
      <c r="P305" s="5">
        <f>IF(D305="Mall",1,0)</f>
        <v>0</v>
      </c>
      <c r="Q305" s="5">
        <f>IF(D305="High Street",1,0)</f>
        <v>1</v>
      </c>
      <c r="R305" s="5">
        <f>IF(D305="Airport",1,0)</f>
        <v>0</v>
      </c>
      <c r="S305" s="2">
        <v>70979.31</v>
      </c>
      <c r="T305" s="2">
        <v>400831.65</v>
      </c>
      <c r="U305" s="12">
        <f>66915.46892
+(1.209928492*E305)
+(27.33619482*F305)
+(-41243.14883*G305)
+(3508.399163*H305)
+(3062.210286*I305)
+(-3438.10791*J305)
+(15157.28728*K305)
+(12509.46131*L305)
+(-15342.70531*M305)
+(-4201.853217*N305)
+(-25291.41891*O305)
+(32832.85351*P305)
+(20219.25907*Q305)
+(44695.0949*R305)</f>
        <v>462518.95145176689</v>
      </c>
      <c r="V305">
        <f>T305-U305</f>
        <v>-61687.301451766863</v>
      </c>
    </row>
    <row r="306" spans="1:22">
      <c r="A306" s="2" t="s">
        <v>54</v>
      </c>
      <c r="B306" s="3">
        <v>45717</v>
      </c>
      <c r="C306" s="2" t="s">
        <v>15</v>
      </c>
      <c r="D306" s="2" t="s">
        <v>18</v>
      </c>
      <c r="E306" s="2">
        <v>50735.63</v>
      </c>
      <c r="F306" s="2">
        <v>9619</v>
      </c>
      <c r="G306" s="2">
        <v>0.14399999999999999</v>
      </c>
      <c r="H306" s="2">
        <v>19</v>
      </c>
      <c r="I306" s="2">
        <v>93.8</v>
      </c>
      <c r="J306" s="2">
        <v>5.12</v>
      </c>
      <c r="K306" s="2">
        <v>1</v>
      </c>
      <c r="L306" s="2">
        <v>4.5</v>
      </c>
      <c r="M306" s="5">
        <f>IF(C306="North",1,0)</f>
        <v>0</v>
      </c>
      <c r="N306" s="5">
        <f>IF(C306="South",1,0)</f>
        <v>0</v>
      </c>
      <c r="O306" s="5">
        <f>IF(C306="East",1,0)</f>
        <v>1</v>
      </c>
      <c r="P306" s="5">
        <f>IF(D306="Mall",1,0)</f>
        <v>0</v>
      </c>
      <c r="Q306" s="5">
        <f>IF(D306="High Street",1,0)</f>
        <v>1</v>
      </c>
      <c r="R306" s="5">
        <f>IF(D306="Airport",1,0)</f>
        <v>0</v>
      </c>
      <c r="S306" s="2">
        <v>121632.24</v>
      </c>
      <c r="T306" s="2">
        <v>725235.28</v>
      </c>
      <c r="U306" s="12">
        <f>66915.46892
+(1.209928492*E306)
+(27.33619482*F306)
+(-41243.14883*G306)
+(3508.399163*H306)
+(3062.210286*I306)
+(-3438.10791*J306)
+(15157.28728*K306)
+(12509.46131*L306)
+(-15342.70531*M306)
+(-4201.853217*N306)
+(-25291.41891*O306)
+(32832.85351*P306)
+(20219.25907*Q306)
+(44695.0949*R306)</f>
        <v>787979.29751822993</v>
      </c>
      <c r="V306">
        <f>T306-U306</f>
        <v>-62744.017518229899</v>
      </c>
    </row>
    <row r="307" spans="1:22">
      <c r="A307" s="2" t="s">
        <v>85</v>
      </c>
      <c r="B307" s="3">
        <v>45748</v>
      </c>
      <c r="C307" s="2" t="s">
        <v>24</v>
      </c>
      <c r="D307" s="2" t="s">
        <v>21</v>
      </c>
      <c r="E307" s="2">
        <v>36290.080000000002</v>
      </c>
      <c r="F307" s="2">
        <v>5787</v>
      </c>
      <c r="G307" s="2">
        <v>0</v>
      </c>
      <c r="H307" s="2">
        <v>17</v>
      </c>
      <c r="I307" s="2">
        <v>88.3</v>
      </c>
      <c r="J307" s="2">
        <v>4.1900000000000004</v>
      </c>
      <c r="K307" s="2">
        <v>0</v>
      </c>
      <c r="L307" s="2">
        <v>4.0999999999999996</v>
      </c>
      <c r="M307" s="5">
        <f>IF(C307="North",1,0)</f>
        <v>0</v>
      </c>
      <c r="N307" s="5">
        <f>IF(C307="South",1,0)</f>
        <v>1</v>
      </c>
      <c r="O307" s="5">
        <f>IF(C307="East",1,0)</f>
        <v>0</v>
      </c>
      <c r="P307" s="5">
        <f>IF(D307="Mall",1,0)</f>
        <v>0</v>
      </c>
      <c r="Q307" s="5">
        <f>IF(D307="High Street",1,0)</f>
        <v>0</v>
      </c>
      <c r="R307" s="5">
        <f>IF(D307="Airport",1,0)</f>
        <v>1</v>
      </c>
      <c r="S307" s="2">
        <v>108985.74</v>
      </c>
      <c r="T307" s="2">
        <v>612390.14</v>
      </c>
      <c r="U307" s="12">
        <f>66915.46892
+(1.209928492*E307)
+(27.33619482*F307)
+(-41243.14883*G307)
+(3508.399163*H307)
+(3062.210286*I307)
+(-3438.10791*J307)
+(15157.28728*K307)
+(12509.46131*L307)
+(-15342.70531*M307)
+(-4201.853217*N307)
+(-25291.41891*O307)
+(32832.85351*P307)
+(20219.25907*Q307)
+(44695.0949*R307)</f>
        <v>676430.74504819931</v>
      </c>
      <c r="V307">
        <f>T307-U307</f>
        <v>-64040.605048199301</v>
      </c>
    </row>
    <row r="308" spans="1:22">
      <c r="A308" s="2" t="s">
        <v>30</v>
      </c>
      <c r="B308" s="3">
        <v>45658</v>
      </c>
      <c r="C308" s="2" t="s">
        <v>20</v>
      </c>
      <c r="D308" s="2" t="s">
        <v>16</v>
      </c>
      <c r="E308" s="2">
        <v>54597.83</v>
      </c>
      <c r="F308" s="2">
        <v>9429</v>
      </c>
      <c r="G308" s="2">
        <v>0.188</v>
      </c>
      <c r="H308" s="2">
        <v>21</v>
      </c>
      <c r="I308" s="2">
        <v>83.3</v>
      </c>
      <c r="J308" s="2">
        <v>11.71</v>
      </c>
      <c r="K308" s="2">
        <v>0</v>
      </c>
      <c r="L308" s="2">
        <v>4.2</v>
      </c>
      <c r="M308" s="5">
        <f>IF(C308="North",1,0)</f>
        <v>1</v>
      </c>
      <c r="N308" s="5">
        <f>IF(C308="South",1,0)</f>
        <v>0</v>
      </c>
      <c r="O308" s="5">
        <f>IF(C308="East",1,0)</f>
        <v>0</v>
      </c>
      <c r="P308" s="5">
        <f>IF(D308="Mall",1,0)</f>
        <v>0</v>
      </c>
      <c r="Q308" s="5">
        <f>IF(D308="High Street",1,0)</f>
        <v>0</v>
      </c>
      <c r="R308" s="5">
        <f>IF(D308="Airport",1,0)</f>
        <v>0</v>
      </c>
      <c r="S308" s="2">
        <v>81342.58</v>
      </c>
      <c r="T308" s="2">
        <v>641865.03</v>
      </c>
      <c r="U308" s="12">
        <f>66915.46892
+(1.209928492*E308)
+(27.33619482*F308)
+(-41243.14883*G308)
+(3508.399163*H308)
+(3062.210286*I308)
+(-3438.10791*J308)
+(15157.28728*K308)
+(12509.46131*L308)
+(-15342.70531*M308)
+(-4201.853217*N308)
+(-25291.41891*O308)
+(32832.85351*P308)
+(20219.25907*Q308)
+(44695.0949*R308)</f>
        <v>708669.49582881236</v>
      </c>
      <c r="V308">
        <f>T308-U308</f>
        <v>-66804.465828812332</v>
      </c>
    </row>
    <row r="309" spans="1:22">
      <c r="A309" s="2" t="s">
        <v>92</v>
      </c>
      <c r="B309" s="3">
        <v>45658</v>
      </c>
      <c r="C309" s="2" t="s">
        <v>24</v>
      </c>
      <c r="D309" s="2" t="s">
        <v>18</v>
      </c>
      <c r="E309" s="2">
        <v>45940.39</v>
      </c>
      <c r="F309" s="2">
        <v>4022</v>
      </c>
      <c r="G309" s="2">
        <v>6.9000000000000006E-2</v>
      </c>
      <c r="H309" s="2">
        <v>10</v>
      </c>
      <c r="I309" s="2">
        <v>83</v>
      </c>
      <c r="J309" s="2">
        <v>1.23</v>
      </c>
      <c r="K309" s="2">
        <v>1</v>
      </c>
      <c r="L309" s="2">
        <v>3.8</v>
      </c>
      <c r="M309" s="5">
        <f>IF(C309="North",1,0)</f>
        <v>0</v>
      </c>
      <c r="N309" s="5">
        <f>IF(C309="South",1,0)</f>
        <v>1</v>
      </c>
      <c r="O309" s="5">
        <f>IF(C309="East",1,0)</f>
        <v>0</v>
      </c>
      <c r="P309" s="5">
        <f>IF(D309="Mall",1,0)</f>
        <v>0</v>
      </c>
      <c r="Q309" s="5">
        <f>IF(D309="High Street",1,0)</f>
        <v>1</v>
      </c>
      <c r="R309" s="5">
        <f>IF(D309="Airport",1,0)</f>
        <v>0</v>
      </c>
      <c r="S309" s="2">
        <v>63619.98</v>
      </c>
      <c r="T309" s="2">
        <v>524899.56999999995</v>
      </c>
      <c r="U309" s="12">
        <f>66915.46892
+(1.209928492*E309)
+(27.33619482*F309)
+(-41243.14883*G309)
+(3508.399163*H309)
+(3062.210286*I309)
+(-3438.10791*J309)
+(15157.28728*K309)
+(12509.46131*L309)
+(-15342.70531*M309)
+(-4201.853217*N309)
+(-25291.41891*O309)
+(32832.85351*P309)
+(20219.25907*Q309)
+(44695.0949*R309)</f>
        <v>593329.67276106193</v>
      </c>
      <c r="V309">
        <f>T309-U309</f>
        <v>-68430.102761061979</v>
      </c>
    </row>
    <row r="310" spans="1:22">
      <c r="A310" s="2" t="s">
        <v>25</v>
      </c>
      <c r="B310" s="3">
        <v>45658</v>
      </c>
      <c r="C310" s="2" t="s">
        <v>20</v>
      </c>
      <c r="D310" s="2" t="s">
        <v>16</v>
      </c>
      <c r="E310" s="2">
        <v>30356.28</v>
      </c>
      <c r="F310" s="2">
        <v>2822</v>
      </c>
      <c r="G310" s="2">
        <v>0.23100000000000001</v>
      </c>
      <c r="H310" s="2">
        <v>9</v>
      </c>
      <c r="I310" s="2">
        <v>84.8</v>
      </c>
      <c r="J310" s="2">
        <v>6.95</v>
      </c>
      <c r="K310" s="2">
        <v>0</v>
      </c>
      <c r="L310" s="2">
        <v>5</v>
      </c>
      <c r="M310" s="5">
        <f>IF(C310="North",1,0)</f>
        <v>1</v>
      </c>
      <c r="N310" s="5">
        <f>IF(C310="South",1,0)</f>
        <v>0</v>
      </c>
      <c r="O310" s="5">
        <f>IF(C310="East",1,0)</f>
        <v>0</v>
      </c>
      <c r="P310" s="5">
        <f>IF(D310="Mall",1,0)</f>
        <v>0</v>
      </c>
      <c r="Q310" s="5">
        <f>IF(D310="High Street",1,0)</f>
        <v>0</v>
      </c>
      <c r="R310" s="5">
        <f>IF(D310="Airport",1,0)</f>
        <v>0</v>
      </c>
      <c r="S310" s="2">
        <v>61179.15</v>
      </c>
      <c r="T310" s="2">
        <v>415721.82</v>
      </c>
      <c r="U310" s="12">
        <f>66915.46892
+(1.209928492*E310)
+(27.33619482*F310)
+(-41243.14883*G310)
+(3508.399163*H310)
+(3062.210286*I310)
+(-3438.10791*J310)
+(15157.28728*K310)
+(12509.46131*L310)
+(-15342.70531*M310)
+(-4201.853217*N310)
+(-25291.41891*O310)
+(32832.85351*P310)
+(20219.25907*Q310)
+(44695.0949*R310)</f>
        <v>485820.74739073974</v>
      </c>
      <c r="V310">
        <f>T310-U310</f>
        <v>-70098.927390739729</v>
      </c>
    </row>
    <row r="311" spans="1:22">
      <c r="A311" s="2" t="s">
        <v>89</v>
      </c>
      <c r="B311" s="3">
        <v>45748</v>
      </c>
      <c r="C311" s="2" t="s">
        <v>15</v>
      </c>
      <c r="D311" s="2" t="s">
        <v>28</v>
      </c>
      <c r="E311" s="2">
        <v>29344.93</v>
      </c>
      <c r="F311" s="2">
        <v>7446</v>
      </c>
      <c r="G311" s="2">
        <v>0.111</v>
      </c>
      <c r="H311" s="2">
        <v>15</v>
      </c>
      <c r="I311" s="2">
        <v>86.2</v>
      </c>
      <c r="J311" s="2">
        <v>0.2</v>
      </c>
      <c r="K311" s="2">
        <v>0</v>
      </c>
      <c r="L311" s="2">
        <v>3.2</v>
      </c>
      <c r="M311" s="5">
        <f>IF(C311="North",1,0)</f>
        <v>0</v>
      </c>
      <c r="N311" s="5">
        <f>IF(C311="South",1,0)</f>
        <v>0</v>
      </c>
      <c r="O311" s="5">
        <f>IF(C311="East",1,0)</f>
        <v>1</v>
      </c>
      <c r="P311" s="5">
        <f>IF(D311="Mall",1,0)</f>
        <v>1</v>
      </c>
      <c r="Q311" s="5">
        <f>IF(D311="High Street",1,0)</f>
        <v>0</v>
      </c>
      <c r="R311" s="5">
        <f>IF(D311="Airport",1,0)</f>
        <v>0</v>
      </c>
      <c r="S311" s="2">
        <v>82832.240000000005</v>
      </c>
      <c r="T311" s="2">
        <v>593343</v>
      </c>
      <c r="U311" s="12">
        <f>66915.46892
+(1.209928492*E311)
+(27.33619482*F311)
+(-41243.14883*G311)
+(3508.399163*H311)
+(3062.210286*I311)
+(-3438.10791*J311)
+(15157.28728*K311)
+(12509.46131*L311)
+(-15342.70531*M311)
+(-4201.853217*N311)
+(-25291.41891*O311)
+(32832.85351*P311)
+(20219.25907*Q311)
+(44695.0949*R311)</f>
        <v>664860.65624053555</v>
      </c>
      <c r="V311">
        <f>T311-U311</f>
        <v>-71517.656240535551</v>
      </c>
    </row>
    <row r="312" spans="1:22">
      <c r="A312" s="2" t="s">
        <v>56</v>
      </c>
      <c r="B312" s="3">
        <v>45658</v>
      </c>
      <c r="C312" s="2" t="s">
        <v>24</v>
      </c>
      <c r="D312" s="2" t="s">
        <v>16</v>
      </c>
      <c r="E312" s="2">
        <v>71320.66</v>
      </c>
      <c r="F312" s="2">
        <v>7888</v>
      </c>
      <c r="G312" s="2">
        <v>4.8000000000000001E-2</v>
      </c>
      <c r="H312" s="2">
        <v>20</v>
      </c>
      <c r="I312" s="2">
        <v>78.099999999999994</v>
      </c>
      <c r="J312" s="2">
        <v>3.4</v>
      </c>
      <c r="K312" s="2">
        <v>0</v>
      </c>
      <c r="L312" s="5">
        <v>3.9</v>
      </c>
      <c r="M312" s="5">
        <f>IF(C312="North",1,0)</f>
        <v>0</v>
      </c>
      <c r="N312" s="5">
        <f>IF(C312="South",1,0)</f>
        <v>1</v>
      </c>
      <c r="O312" s="5">
        <f>IF(C312="East",1,0)</f>
        <v>0</v>
      </c>
      <c r="P312" s="5">
        <f>IF(D312="Mall",1,0)</f>
        <v>0</v>
      </c>
      <c r="Q312" s="5">
        <f>IF(D312="High Street",1,0)</f>
        <v>0</v>
      </c>
      <c r="R312" s="5">
        <f>IF(D312="Airport",1,0)</f>
        <v>0</v>
      </c>
      <c r="S312" s="2">
        <v>99402.01</v>
      </c>
      <c r="T312" s="2">
        <v>633638.03</v>
      </c>
      <c r="U312" s="12">
        <f>66915.46892
+(1.209928492*E312)
+(27.33619482*F312)
+(-41243.14883*G312)
+(3508.399163*H312)
+(3062.210286*I312)
+(-3438.10791*J312)
+(15157.28728*K312)
+(12509.46131*L312)
+(-15342.70531*M312)
+(-4201.853217*N312)
+(-25291.41891*O312)
+(32832.85351*P312)
+(20219.25907*Q312)
+(44695.0949*R312)</f>
        <v>709078.68671316456</v>
      </c>
      <c r="V312">
        <f>T312-U312</f>
        <v>-75440.656713164528</v>
      </c>
    </row>
    <row r="313" spans="1:22">
      <c r="A313" s="2" t="s">
        <v>14</v>
      </c>
      <c r="B313" s="3">
        <v>45748</v>
      </c>
      <c r="C313" s="2" t="s">
        <v>15</v>
      </c>
      <c r="D313" s="2" t="s">
        <v>16</v>
      </c>
      <c r="E313" s="2">
        <v>56856.63</v>
      </c>
      <c r="F313" s="2">
        <v>9431</v>
      </c>
      <c r="G313" s="2">
        <v>0.14199999999999999</v>
      </c>
      <c r="H313" s="2">
        <v>23</v>
      </c>
      <c r="I313" s="2">
        <v>86.9</v>
      </c>
      <c r="J313" s="2">
        <v>4.97</v>
      </c>
      <c r="K313" s="2">
        <v>0</v>
      </c>
      <c r="L313" s="2">
        <v>3.4</v>
      </c>
      <c r="M313" s="5">
        <f>IF(C313="North",1,0)</f>
        <v>0</v>
      </c>
      <c r="N313" s="5">
        <f>IF(C313="South",1,0)</f>
        <v>0</v>
      </c>
      <c r="O313" s="5">
        <f>IF(C313="East",1,0)</f>
        <v>1</v>
      </c>
      <c r="P313" s="5">
        <f>IF(D313="Mall",1,0)</f>
        <v>0</v>
      </c>
      <c r="Q313" s="5">
        <f>IF(D313="High Street",1,0)</f>
        <v>0</v>
      </c>
      <c r="R313" s="5">
        <f>IF(D313="Airport",1,0)</f>
        <v>0</v>
      </c>
      <c r="S313" s="2">
        <v>97910.37</v>
      </c>
      <c r="T313" s="2">
        <v>658920.30000000005</v>
      </c>
      <c r="U313" s="12">
        <f>66915.46892
+(1.209928492*E313)
+(27.33619482*F313)
+(-41243.14883*G313)
+(3508.399163*H313)
+(3062.210286*I313)
+(-3438.10791*J313)
+(15157.28728*K313)
+(12509.46131*L313)
+(-15342.70531*M313)
+(-4201.853217*N313)
+(-25291.41891*O313)
+(32832.85351*P313)
+(20219.25907*Q313)
+(44695.0949*R313)</f>
        <v>734611.65956336202</v>
      </c>
      <c r="V313">
        <f>T313-U313</f>
        <v>-75691.35956336197</v>
      </c>
    </row>
    <row r="314" spans="1:22">
      <c r="A314" s="2" t="s">
        <v>73</v>
      </c>
      <c r="B314" s="3">
        <v>45748</v>
      </c>
      <c r="C314" s="2" t="s">
        <v>15</v>
      </c>
      <c r="D314" s="2" t="s">
        <v>28</v>
      </c>
      <c r="E314" s="2">
        <v>56413.83</v>
      </c>
      <c r="F314" s="2">
        <v>8303</v>
      </c>
      <c r="G314" s="2">
        <v>0.11600000000000001</v>
      </c>
      <c r="H314" s="2">
        <v>18</v>
      </c>
      <c r="I314" s="2">
        <v>93.6</v>
      </c>
      <c r="J314" s="2">
        <v>2.7</v>
      </c>
      <c r="K314" s="2">
        <v>0</v>
      </c>
      <c r="L314" s="2">
        <v>3.7</v>
      </c>
      <c r="M314" s="5">
        <f>IF(C314="North",1,0)</f>
        <v>0</v>
      </c>
      <c r="N314" s="5">
        <f>IF(C314="South",1,0)</f>
        <v>0</v>
      </c>
      <c r="O314" s="5">
        <f>IF(C314="East",1,0)</f>
        <v>1</v>
      </c>
      <c r="P314" s="5">
        <f>IF(D314="Mall",1,0)</f>
        <v>1</v>
      </c>
      <c r="Q314" s="5">
        <f>IF(D314="High Street",1,0)</f>
        <v>0</v>
      </c>
      <c r="R314" s="5">
        <f>IF(D314="Airport",1,0)</f>
        <v>0</v>
      </c>
      <c r="S314" s="2">
        <v>112564.75</v>
      </c>
      <c r="T314" s="2">
        <v>675917.63</v>
      </c>
      <c r="U314" s="12">
        <f>66915.46892
+(1.209928492*E314)
+(27.33619482*F314)
+(-41243.14883*G314)
+(3508.399163*H314)
+(3062.210286*I314)
+(-3438.10791*J314)
+(15157.28728*K314)
+(12509.46131*L314)
+(-15342.70531*M314)
+(-4201.853217*N314)
+(-25291.41891*O314)
+(32832.85351*P314)
+(20219.25907*Q314)
+(44695.0949*R314)</f>
        <v>751678.00729962438</v>
      </c>
      <c r="V314">
        <f>T314-U314</f>
        <v>-75760.377299624379</v>
      </c>
    </row>
    <row r="315" spans="1:22">
      <c r="A315" s="2" t="s">
        <v>35</v>
      </c>
      <c r="B315" s="3">
        <v>45748</v>
      </c>
      <c r="C315" s="2" t="s">
        <v>27</v>
      </c>
      <c r="D315" s="2" t="s">
        <v>18</v>
      </c>
      <c r="E315" s="2">
        <v>27808.6</v>
      </c>
      <c r="F315" s="2">
        <v>2863</v>
      </c>
      <c r="G315" s="2">
        <v>0.08</v>
      </c>
      <c r="H315" s="2">
        <v>13</v>
      </c>
      <c r="I315" s="2">
        <v>89.3</v>
      </c>
      <c r="J315" s="2">
        <v>0.47</v>
      </c>
      <c r="K315" s="2">
        <v>0</v>
      </c>
      <c r="L315" s="2">
        <v>4.0999999999999996</v>
      </c>
      <c r="M315" s="5">
        <f>IF(C315="North",1,0)</f>
        <v>0</v>
      </c>
      <c r="N315" s="5">
        <f>IF(C315="South",1,0)</f>
        <v>0</v>
      </c>
      <c r="O315" s="5">
        <f>IF(C315="East",1,0)</f>
        <v>0</v>
      </c>
      <c r="P315" s="5">
        <f>IF(D315="Mall",1,0)</f>
        <v>0</v>
      </c>
      <c r="Q315" s="5">
        <f>IF(D315="High Street",1,0)</f>
        <v>1</v>
      </c>
      <c r="R315" s="5">
        <f>IF(D315="Airport",1,0)</f>
        <v>0</v>
      </c>
      <c r="S315" s="2">
        <v>64562.26</v>
      </c>
      <c r="T315" s="2">
        <v>487464.91</v>
      </c>
      <c r="U315" s="12">
        <f>66915.46892
+(1.209928492*E315)
+(27.33619482*F315)
+(-41243.14883*G315)
+(3508.399163*H315)
+(3062.210286*I315)
+(-3438.10791*J315)
+(15157.28728*K315)
+(12509.46131*L315)
+(-15342.70531*M315)
+(-4201.853217*N315)
+(-25291.41891*O315)
+(32832.85351*P315)
+(20219.25907*Q315)
+(44695.0949*R315)</f>
        <v>564482.66762799129</v>
      </c>
      <c r="V315">
        <f>T315-U315</f>
        <v>-77017.757627991319</v>
      </c>
    </row>
    <row r="316" spans="1:22">
      <c r="A316" s="2" t="s">
        <v>89</v>
      </c>
      <c r="B316" s="3">
        <v>45658</v>
      </c>
      <c r="C316" s="2" t="s">
        <v>15</v>
      </c>
      <c r="D316" s="2" t="s">
        <v>28</v>
      </c>
      <c r="E316" s="2">
        <v>48752.92</v>
      </c>
      <c r="F316" s="2">
        <v>8052</v>
      </c>
      <c r="G316" s="2">
        <v>0.106</v>
      </c>
      <c r="H316" s="2">
        <v>16</v>
      </c>
      <c r="I316" s="2">
        <v>94.9</v>
      </c>
      <c r="J316" s="2">
        <v>0.65</v>
      </c>
      <c r="K316" s="2">
        <v>0</v>
      </c>
      <c r="L316" s="2">
        <v>3.6</v>
      </c>
      <c r="M316" s="5">
        <f>IF(C316="North",1,0)</f>
        <v>0</v>
      </c>
      <c r="N316" s="5">
        <f>IF(C316="South",1,0)</f>
        <v>0</v>
      </c>
      <c r="O316" s="5">
        <f>IF(C316="East",1,0)</f>
        <v>1</v>
      </c>
      <c r="P316" s="5">
        <f>IF(D316="Mall",1,0)</f>
        <v>1</v>
      </c>
      <c r="Q316" s="5">
        <f>IF(D316="High Street",1,0)</f>
        <v>0</v>
      </c>
      <c r="R316" s="5">
        <f>IF(D316="Airport",1,0)</f>
        <v>0</v>
      </c>
      <c r="S316" s="2">
        <v>118768.66</v>
      </c>
      <c r="T316" s="2">
        <v>660633.99</v>
      </c>
      <c r="U316" s="12">
        <f>66915.46892
+(1.209928492*E316)
+(27.33619482*F316)
+(-41243.14883*G316)
+(3508.399163*H316)
+(3062.210286*I316)
+(-3438.10791*J316)
+(15157.28728*K316)
+(12509.46131*L316)
+(-15342.70531*M316)
+(-4201.853217*N316)
+(-25291.41891*O316)
+(32832.85351*P316)
+(20219.25907*Q316)
+(44695.0949*R316)</f>
        <v>738721.15073475672</v>
      </c>
      <c r="V316">
        <f>T316-U316</f>
        <v>-78087.160734756733</v>
      </c>
    </row>
    <row r="317" spans="1:22">
      <c r="A317" s="2" t="s">
        <v>81</v>
      </c>
      <c r="B317" s="3">
        <v>45658</v>
      </c>
      <c r="C317" s="2" t="s">
        <v>27</v>
      </c>
      <c r="D317" s="2" t="s">
        <v>28</v>
      </c>
      <c r="E317" s="2">
        <v>46495.4</v>
      </c>
      <c r="F317" s="2">
        <v>9908</v>
      </c>
      <c r="G317" s="2">
        <v>0.121</v>
      </c>
      <c r="H317" s="2">
        <v>22</v>
      </c>
      <c r="I317" s="2">
        <v>89.4</v>
      </c>
      <c r="J317" s="2">
        <v>3.22</v>
      </c>
      <c r="K317" s="2">
        <v>0</v>
      </c>
      <c r="L317" s="2">
        <v>3.7</v>
      </c>
      <c r="M317" s="5">
        <f>IF(C317="North",1,0)</f>
        <v>0</v>
      </c>
      <c r="N317" s="5">
        <f>IF(C317="South",1,0)</f>
        <v>0</v>
      </c>
      <c r="O317" s="5">
        <f>IF(C317="East",1,0)</f>
        <v>0</v>
      </c>
      <c r="P317" s="5">
        <f>IF(D317="Mall",1,0)</f>
        <v>1</v>
      </c>
      <c r="Q317" s="5">
        <f>IF(D317="High Street",1,0)</f>
        <v>0</v>
      </c>
      <c r="R317" s="5">
        <f>IF(D317="Airport",1,0)</f>
        <v>0</v>
      </c>
      <c r="S317" s="2">
        <v>115295.05</v>
      </c>
      <c r="T317" s="2">
        <v>721079.35</v>
      </c>
      <c r="U317" s="12">
        <f>66915.46892
+(1.209928492*E317)
+(27.33619482*F317)
+(-41243.14883*G317)
+(3508.399163*H317)
+(3062.210286*I317)
+(-3438.10791*J317)
+(15157.28728*K317)
+(12509.46131*L317)
+(-15342.70531*M317)
+(-4201.853217*N317)
+(-25291.41891*O317)
+(32832.85351*P317)
+(20219.25907*Q317)
+(44695.0949*R317)</f>
        <v>808021.7094362668</v>
      </c>
      <c r="V317">
        <f>T317-U317</f>
        <v>-86942.359436266823</v>
      </c>
    </row>
    <row r="318" spans="1:22">
      <c r="A318" s="2" t="s">
        <v>26</v>
      </c>
      <c r="B318" s="3">
        <v>45689</v>
      </c>
      <c r="C318" s="2" t="s">
        <v>27</v>
      </c>
      <c r="D318" s="2" t="s">
        <v>28</v>
      </c>
      <c r="E318" s="2">
        <v>172415.52</v>
      </c>
      <c r="F318" s="2">
        <v>8927</v>
      </c>
      <c r="G318" s="2">
        <v>0.14000000000000001</v>
      </c>
      <c r="H318" s="2">
        <v>22</v>
      </c>
      <c r="I318" s="2">
        <v>86.2</v>
      </c>
      <c r="J318" s="2">
        <v>7.04</v>
      </c>
      <c r="K318" s="2">
        <v>0</v>
      </c>
      <c r="L318" s="2">
        <v>3.9</v>
      </c>
      <c r="M318" s="5">
        <f>IF(C318="North",1,0)</f>
        <v>0</v>
      </c>
      <c r="N318" s="5">
        <f>IF(C318="South",1,0)</f>
        <v>0</v>
      </c>
      <c r="O318" s="5">
        <f>IF(C318="East",1,0)</f>
        <v>0</v>
      </c>
      <c r="P318" s="5">
        <f>IF(D318="Mall",1,0)</f>
        <v>1</v>
      </c>
      <c r="Q318" s="5">
        <f>IF(D318="High Street",1,0)</f>
        <v>0</v>
      </c>
      <c r="R318" s="5">
        <f>IF(D318="Airport",1,0)</f>
        <v>0</v>
      </c>
      <c r="S318" s="2">
        <v>111572.29</v>
      </c>
      <c r="T318" s="2">
        <v>800451.94</v>
      </c>
      <c r="U318" s="12">
        <f>66915.46892
+(1.209928492*E318)
+(27.33619482*F318)
+(-41243.14883*G318)
+(3508.399163*H318)
+(3062.210286*I318)
+(-3438.10791*J318)
+(15157.28728*K318)
+(12509.46131*L318)
+(-15342.70531*M318)
+(-4201.853217*N318)
+(-25291.41891*O318)
+(32832.85351*P318)
+(20219.25907*Q318)
+(44695.0949*R318)</f>
        <v>912344.87052473577</v>
      </c>
      <c r="V318">
        <f>T318-U318</f>
        <v>-111892.93052473583</v>
      </c>
    </row>
    <row r="319" spans="1:22">
      <c r="A319" s="2" t="s">
        <v>33</v>
      </c>
      <c r="B319" s="3">
        <v>45658</v>
      </c>
      <c r="C319" s="2" t="s">
        <v>27</v>
      </c>
      <c r="D319" s="2" t="s">
        <v>16</v>
      </c>
      <c r="E319" s="2">
        <v>138855.51</v>
      </c>
      <c r="F319" s="2">
        <v>5145</v>
      </c>
      <c r="G319" s="2">
        <v>0.06</v>
      </c>
      <c r="H319" s="2">
        <v>17</v>
      </c>
      <c r="I319" s="2">
        <v>88.2</v>
      </c>
      <c r="J319" s="2">
        <v>9.58</v>
      </c>
      <c r="K319" s="2">
        <v>0</v>
      </c>
      <c r="L319" s="2">
        <v>3.2</v>
      </c>
      <c r="M319" s="5">
        <f>IF(C319="North",1,0)</f>
        <v>0</v>
      </c>
      <c r="N319" s="5">
        <f>IF(C319="South",1,0)</f>
        <v>0</v>
      </c>
      <c r="O319" s="5">
        <f>IF(C319="East",1,0)</f>
        <v>0</v>
      </c>
      <c r="P319" s="5">
        <f>IF(D319="Mall",1,0)</f>
        <v>0</v>
      </c>
      <c r="Q319" s="5">
        <f>IF(D319="High Street",1,0)</f>
        <v>0</v>
      </c>
      <c r="R319" s="5">
        <f>IF(D319="Airport",1,0)</f>
        <v>0</v>
      </c>
      <c r="S319" s="2">
        <v>104276.46</v>
      </c>
      <c r="T319" s="2">
        <v>595467.6</v>
      </c>
      <c r="U319" s="12">
        <f>66915.46892
+(1.209928492*E319)
+(27.33619482*F319)
+(-41243.14883*G319)
+(3508.399163*H319)
+(3062.210286*I319)
+(-3438.10791*J319)
+(15157.28728*K319)
+(12509.46131*L319)
+(-15342.70531*M319)
+(-4201.853217*N319)
+(-25291.41891*O319)
+(32832.85351*P319)
+(20219.25907*Q319)
+(44695.0949*R319)</f>
        <v>709913.77556969097</v>
      </c>
      <c r="V319">
        <f>T319-U319</f>
        <v>-114446.175569691</v>
      </c>
    </row>
    <row r="320" spans="1:22">
      <c r="A320" s="2" t="s">
        <v>38</v>
      </c>
      <c r="B320" s="3">
        <v>45717</v>
      </c>
      <c r="C320" s="2" t="s">
        <v>27</v>
      </c>
      <c r="D320" s="2" t="s">
        <v>18</v>
      </c>
      <c r="E320" s="2">
        <v>79346.100000000006</v>
      </c>
      <c r="F320" s="2">
        <v>9628</v>
      </c>
      <c r="G320" s="2">
        <v>0.10199999999999999</v>
      </c>
      <c r="H320" s="2">
        <v>20</v>
      </c>
      <c r="I320" s="2">
        <v>99</v>
      </c>
      <c r="J320" s="2">
        <v>19.010000000000002</v>
      </c>
      <c r="K320" s="2">
        <v>1</v>
      </c>
      <c r="L320" s="2">
        <v>3.2</v>
      </c>
      <c r="M320" s="5">
        <f>IF(C320="North",1,0)</f>
        <v>0</v>
      </c>
      <c r="N320" s="5">
        <f>IF(C320="South",1,0)</f>
        <v>0</v>
      </c>
      <c r="O320" s="5">
        <f>IF(C320="East",1,0)</f>
        <v>0</v>
      </c>
      <c r="P320" s="5">
        <f>IF(D320="Mall",1,0)</f>
        <v>0</v>
      </c>
      <c r="Q320" s="5">
        <f>IF(D320="High Street",1,0)</f>
        <v>1</v>
      </c>
      <c r="R320" s="5">
        <f>IF(D320="Airport",1,0)</f>
        <v>0</v>
      </c>
      <c r="S320" s="2">
        <v>106898.82</v>
      </c>
      <c r="T320" s="2">
        <v>685379.08</v>
      </c>
      <c r="U320" s="12">
        <f>66915.46892
+(1.209928492*E320)
+(27.33619482*F320)
+(-41243.14883*G320)
+(3508.399163*H320)
+(3062.210286*I320)
+(-3438.10791*J320)
+(15157.28728*K320)
+(12509.46131*L320)
+(-15342.70531*M320)
+(-4201.853217*N320)
+(-25291.41891*O320)
+(32832.85351*P320)
+(20219.25907*Q320)
+(44695.0949*R320)</f>
        <v>805279.85133228125</v>
      </c>
      <c r="V320">
        <f>T320-U320</f>
        <v>-119900.77133228129</v>
      </c>
    </row>
    <row r="321" spans="1:22">
      <c r="A321" s="2" t="s">
        <v>44</v>
      </c>
      <c r="B321" s="3">
        <v>45689</v>
      </c>
      <c r="C321" s="2" t="s">
        <v>24</v>
      </c>
      <c r="D321" s="2" t="s">
        <v>28</v>
      </c>
      <c r="E321" s="2">
        <v>141540.29</v>
      </c>
      <c r="F321" s="2">
        <v>5400</v>
      </c>
      <c r="G321" s="2">
        <v>1.2999999999999999E-2</v>
      </c>
      <c r="H321" s="2">
        <v>12</v>
      </c>
      <c r="I321" s="2">
        <v>87</v>
      </c>
      <c r="J321" s="2">
        <v>4.26</v>
      </c>
      <c r="K321" s="2">
        <v>0</v>
      </c>
      <c r="L321" s="2">
        <v>4.5</v>
      </c>
      <c r="M321" s="5">
        <f>IF(C321="North",1,0)</f>
        <v>0</v>
      </c>
      <c r="N321" s="5">
        <f>IF(C321="South",1,0)</f>
        <v>1</v>
      </c>
      <c r="O321" s="5">
        <f>IF(C321="East",1,0)</f>
        <v>0</v>
      </c>
      <c r="P321" s="5">
        <f>IF(D321="Mall",1,0)</f>
        <v>1</v>
      </c>
      <c r="Q321" s="5">
        <f>IF(D321="High Street",1,0)</f>
        <v>0</v>
      </c>
      <c r="R321" s="5">
        <f>IF(D321="Airport",1,0)</f>
        <v>0</v>
      </c>
      <c r="S321" s="2">
        <v>105772.75</v>
      </c>
      <c r="T321" s="2">
        <v>627171.9</v>
      </c>
      <c r="U321" s="12">
        <f>66915.46892
+(1.209928492*E321)
+(27.33619482*F321)
+(-41243.14883*G321)
+(3508.399163*H321)
+(3062.210286*I321)
+(-3438.10791*J321)
+(15157.28728*K321)
+(12509.46131*L321)
+(-15342.70531*M321)
+(-4201.853217*N321)
+(-25291.41891*O321)
+(32832.85351*P321)
+(20219.25907*Q321)
+(44695.0949*R321)</f>
        <v>764038.71097955271</v>
      </c>
      <c r="V321">
        <f>T321-U321</f>
        <v>-136866.81097955268</v>
      </c>
    </row>
    <row r="322" spans="1:22">
      <c r="C322" t="e">
        <f>AVERAGE(C2:C321)</f>
        <v>#DIV/0!</v>
      </c>
      <c r="D322">
        <f>SUM(D2:D321)</f>
        <v>0</v>
      </c>
    </row>
    <row r="323" spans="1:22">
      <c r="D323" t="e">
        <f>SQRT(AVERAGE(D2:D321))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C1:E8"/>
  <sheetViews>
    <sheetView showGridLines="0" workbookViewId="0">
      <selection activeCell="G28" sqref="G28"/>
    </sheetView>
  </sheetViews>
  <sheetFormatPr defaultRowHeight="14.25"/>
  <cols>
    <col min="3" max="3" width="23.875" customWidth="1"/>
    <col min="4" max="4" width="22.375" customWidth="1"/>
    <col min="5" max="5" width="24.125" customWidth="1"/>
  </cols>
  <sheetData>
    <row r="1" spans="3:5" ht="15">
      <c r="C1" s="17" t="s">
        <v>133</v>
      </c>
      <c r="D1" s="17" t="s">
        <v>135</v>
      </c>
      <c r="E1" s="17" t="s">
        <v>134</v>
      </c>
    </row>
    <row r="2" spans="3:5">
      <c r="C2" s="15" t="s">
        <v>111</v>
      </c>
      <c r="D2" s="15">
        <v>0.16589999999999999</v>
      </c>
      <c r="E2" s="15">
        <v>0.85699999999999998</v>
      </c>
    </row>
    <row r="3" spans="3:5">
      <c r="C3" s="15" t="s">
        <v>112</v>
      </c>
      <c r="D3" s="15">
        <v>0.1633</v>
      </c>
      <c r="E3" s="15">
        <v>0.85040000000000004</v>
      </c>
    </row>
    <row r="4" spans="3:5">
      <c r="C4" s="15" t="s">
        <v>113</v>
      </c>
      <c r="D4" s="15">
        <v>94867.72</v>
      </c>
      <c r="E4" s="15">
        <v>40133.89</v>
      </c>
    </row>
    <row r="5" spans="3:5">
      <c r="C5" s="15" t="s">
        <v>114</v>
      </c>
      <c r="D5" s="15">
        <v>319</v>
      </c>
      <c r="E5" s="15">
        <v>320</v>
      </c>
    </row>
    <row r="6" spans="3:5">
      <c r="C6" s="15" t="s">
        <v>136</v>
      </c>
      <c r="D6" s="16">
        <v>3.5154900000000002E-14</v>
      </c>
      <c r="E6" s="16">
        <v>1.2488999999999999E-119</v>
      </c>
    </row>
    <row r="7" spans="3:5">
      <c r="C7" s="15" t="s">
        <v>137</v>
      </c>
      <c r="D7" s="15">
        <v>1</v>
      </c>
      <c r="E7" s="15">
        <v>14</v>
      </c>
    </row>
    <row r="8" spans="3:5">
      <c r="C8" s="15" t="s">
        <v>138</v>
      </c>
      <c r="D8" s="15" t="s">
        <v>139</v>
      </c>
      <c r="E8" s="15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original data</vt:lpstr>
      <vt:lpstr>Cleaned_data</vt:lpstr>
      <vt:lpstr>Dummy_variables</vt:lpstr>
      <vt:lpstr>Simple_regression_1</vt:lpstr>
      <vt:lpstr>Simple_Regression_2</vt:lpstr>
      <vt:lpstr>Multiple_regression</vt:lpstr>
      <vt:lpstr>Predictions_Reciduals</vt:lpstr>
      <vt:lpstr>Model_Comparision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2026-06-28T12:05:40Z</dcterms:created>
  <dcterms:modified xsi:type="dcterms:W3CDTF">2026-06-28T16:57:11Z</dcterms:modified>
</cp:coreProperties>
</file>